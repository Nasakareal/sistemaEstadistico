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ERIT\Desktop\"/>
    </mc:Choice>
  </mc:AlternateContent>
  <xr:revisionPtr revIDLastSave="0" documentId="13_ncr:1_{B444A13E-32DC-4BDB-BE23-D6817AC2132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EST. FUR" sheetId="1" r:id="rId1"/>
    <sheet name="EST. VEH" sheetId="2" r:id="rId2"/>
    <sheet name="ARM." sheetId="3" r:id="rId3"/>
    <sheet name="CARRUSEL" sheetId="4" r:id="rId4"/>
    <sheet name="OPERATIVOS" sheetId="5" r:id="rId5"/>
    <sheet name="TOTAL" sheetId="6" r:id="rId6"/>
    <sheet name="NOV. REL" sheetId="7" r:id="rId7"/>
    <sheet name="CAMPAÑAS" sheetId="8" r:id="rId8"/>
    <sheet name="KILOMETRAJES" sheetId="9" r:id="rId9"/>
  </sheets>
  <definedNames>
    <definedName name="_xlnm._FilterDatabase" localSheetId="7" hidden="1">CAMPAÑAS!$A$1:$J$5</definedName>
    <definedName name="_xlnm._FilterDatabase" localSheetId="4" hidden="1">OPERATIVOS!$A$1:$Y$65</definedName>
  </definedNames>
  <calcPr calcId="191029"/>
</workbook>
</file>

<file path=xl/calcChain.xml><?xml version="1.0" encoding="utf-8"?>
<calcChain xmlns="http://schemas.openxmlformats.org/spreadsheetml/2006/main">
  <c r="G26" i="9" l="1"/>
  <c r="G25" i="9"/>
  <c r="G24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27" i="9" s="1"/>
  <c r="G4" i="9"/>
  <c r="J4" i="8"/>
  <c r="I4" i="8"/>
  <c r="H4" i="8"/>
  <c r="G4" i="8"/>
  <c r="F4" i="8"/>
  <c r="E4" i="8"/>
  <c r="D4" i="8"/>
  <c r="C4" i="8"/>
  <c r="B2" i="8"/>
  <c r="H166" i="6"/>
  <c r="D153" i="6"/>
  <c r="H149" i="6"/>
  <c r="H143" i="6"/>
  <c r="G143" i="6"/>
  <c r="F143" i="6"/>
  <c r="E143" i="6"/>
  <c r="D143" i="6"/>
  <c r="H123" i="6"/>
  <c r="D123" i="6"/>
  <c r="D117" i="6"/>
  <c r="D110" i="6"/>
  <c r="H106" i="6"/>
  <c r="F106" i="6"/>
  <c r="G94" i="6"/>
  <c r="F94" i="6"/>
  <c r="E94" i="6"/>
  <c r="D94" i="6"/>
  <c r="I78" i="6"/>
  <c r="H78" i="6"/>
  <c r="F78" i="6"/>
  <c r="E78" i="6"/>
  <c r="D35" i="6"/>
  <c r="D34" i="6"/>
  <c r="D33" i="6"/>
  <c r="D32" i="6"/>
  <c r="D31" i="6"/>
  <c r="D30" i="6"/>
  <c r="D29" i="6"/>
  <c r="D28" i="6"/>
  <c r="D78" i="6" s="1"/>
  <c r="I27" i="6"/>
  <c r="G27" i="6"/>
  <c r="F27" i="6"/>
  <c r="E27" i="6"/>
  <c r="D27" i="6"/>
  <c r="D26" i="6"/>
  <c r="J14" i="5"/>
  <c r="J13" i="5"/>
  <c r="J12" i="5"/>
  <c r="J11" i="5"/>
  <c r="J10" i="5"/>
  <c r="J9" i="5"/>
  <c r="J8" i="5"/>
  <c r="J7" i="5"/>
  <c r="J6" i="5"/>
  <c r="Q5" i="4" s="1"/>
  <c r="J5" i="5"/>
  <c r="D3" i="5"/>
  <c r="B5" i="4"/>
  <c r="L5" i="3"/>
  <c r="E5" i="3"/>
  <c r="M5" i="3" s="1"/>
  <c r="C2" i="3"/>
  <c r="M12" i="2"/>
  <c r="N3" i="2" s="1"/>
  <c r="C10" i="2"/>
  <c r="M8" i="2"/>
  <c r="C6" i="2"/>
  <c r="M4" i="2"/>
  <c r="C2" i="2"/>
  <c r="M5" i="1"/>
  <c r="M4" i="1"/>
  <c r="D124" i="6" l="1"/>
  <c r="D154" i="6"/>
  <c r="D144" i="6"/>
</calcChain>
</file>

<file path=xl/sharedStrings.xml><?xml version="1.0" encoding="utf-8"?>
<sst xmlns="http://schemas.openxmlformats.org/spreadsheetml/2006/main" count="517" uniqueCount="384">
  <si>
    <t>FECHA</t>
  </si>
  <si>
    <t>ESTADO DE FUERZA DE PERSONAL</t>
  </si>
  <si>
    <t>UNIDAD</t>
  </si>
  <si>
    <t>CATEGORIA</t>
  </si>
  <si>
    <t>PRESENTES</t>
  </si>
  <si>
    <t>FRANCOS</t>
  </si>
  <si>
    <t>FALTANDO</t>
  </si>
  <si>
    <t>CURSOS</t>
  </si>
  <si>
    <t>VACACIONES</t>
  </si>
  <si>
    <t>COMISIONADOS</t>
  </si>
  <si>
    <t>INCAPACIDAD</t>
  </si>
  <si>
    <t>PERMISO</t>
  </si>
  <si>
    <t>OTROS</t>
  </si>
  <si>
    <t>TOTAL, POR AGRUPAMIENTO</t>
  </si>
  <si>
    <t>SINIESTROS</t>
  </si>
  <si>
    <t>OPERATIVOS</t>
  </si>
  <si>
    <t>ADMINISTRATIVOS</t>
  </si>
  <si>
    <t>ESTADO DE FUERZA VEHICULAR ACTIVO</t>
  </si>
  <si>
    <t>ÁREA Y/O REGIÓN</t>
  </si>
  <si>
    <t>CHARGER</t>
  </si>
  <si>
    <t>FORD 150</t>
  </si>
  <si>
    <t>CAMIONETA F250</t>
  </si>
  <si>
    <t>RAM DODGE 1500</t>
  </si>
  <si>
    <t>JEEP PATRIOT</t>
  </si>
  <si>
    <t>ECO SPORT</t>
  </si>
  <si>
    <t>TSURU</t>
  </si>
  <si>
    <t>PLATINA</t>
  </si>
  <si>
    <t>KAWASAKY KLR650</t>
  </si>
  <si>
    <t>KAWASAKY ER-6N</t>
  </si>
  <si>
    <t>TOTAL ACTIVAS</t>
  </si>
  <si>
    <t>ESTADO DE FUERZA VEHICULAR INACTIVO</t>
  </si>
  <si>
    <t>TOTAL DE INACTIVAS</t>
  </si>
  <si>
    <t>TOTAL DE ESTADO DE FUERZA VEHICULAR</t>
  </si>
  <si>
    <t>TOTAL</t>
  </si>
  <si>
    <t>ESTADO DE FUERZA DE ARMAMENTO</t>
  </si>
  <si>
    <t>ARMAS</t>
  </si>
  <si>
    <t>MUNICIÓN</t>
  </si>
  <si>
    <t>DONDE SE ENCUENTRAN</t>
  </si>
  <si>
    <t>ARMA CORTA</t>
  </si>
  <si>
    <t>ARMA LARGA</t>
  </si>
  <si>
    <t>CARGADORES</t>
  </si>
  <si>
    <t>CARTUCHOS 9mm</t>
  </si>
  <si>
    <t>CARTUCHOS .223 Y/O 5.56</t>
  </si>
  <si>
    <t>CARTUCHOS 0.38</t>
  </si>
  <si>
    <t>ASIGNADO</t>
  </si>
  <si>
    <t>EN DEPÓSITO</t>
  </si>
  <si>
    <t>OPERATIVOS CARUSEL</t>
  </si>
  <si>
    <t>DETENIDOS</t>
  </si>
  <si>
    <t>REGIÓN</t>
  </si>
  <si>
    <t>DISPOSITIVOS</t>
  </si>
  <si>
    <t>PUESTOS DE CONTROL</t>
  </si>
  <si>
    <t>UBICACIÓN</t>
  </si>
  <si>
    <t>UNIDADES PARTICIPANTES</t>
  </si>
  <si>
    <t>KILOMETROS RECORRIDOS</t>
  </si>
  <si>
    <t>CANTIDAD DE RECORIDOS</t>
  </si>
  <si>
    <t>TRAMO CARRETERO</t>
  </si>
  <si>
    <t>ESTADO DE FUERZA</t>
  </si>
  <si>
    <t>TIEMPO IMPLEMENTADO</t>
  </si>
  <si>
    <t>APOYOS VIALES</t>
  </si>
  <si>
    <t>APOYO A CARAVANAS</t>
  </si>
  <si>
    <t>SERVICIO DE ESCOLTA</t>
  </si>
  <si>
    <t>CONOCIMIENTO DE REPORTES DE ROBO</t>
  </si>
  <si>
    <t>ANTECEDENTES REVISADOS</t>
  </si>
  <si>
    <t>AMONESTACIONES VERBALES</t>
  </si>
  <si>
    <t>VEHÍCULOS RECUPERADOS</t>
  </si>
  <si>
    <t>FUERO COMÚN</t>
  </si>
  <si>
    <t>FUERO FEDERAL</t>
  </si>
  <si>
    <t>JURÍDICO</t>
  </si>
  <si>
    <t>MORELIA</t>
  </si>
  <si>
    <t>NOMBRE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</si>
  <si>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</si>
  <si>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</si>
  <si>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</si>
  <si>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</si>
  <si>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</si>
  <si>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</si>
  <si>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</si>
  <si>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</si>
  <si>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</si>
  <si>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</si>
  <si>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</si>
  <si>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</si>
  <si>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Ñ</t>
  </si>
  <si>
    <t>O</t>
  </si>
  <si>
    <t>P</t>
  </si>
  <si>
    <t>Q</t>
  </si>
  <si>
    <t>R</t>
  </si>
  <si>
    <t>S</t>
  </si>
  <si>
    <t>T</t>
  </si>
  <si>
    <t>U</t>
  </si>
  <si>
    <t>W</t>
  </si>
  <si>
    <t>X</t>
  </si>
  <si>
    <t>Y</t>
  </si>
  <si>
    <t>TABLA DE OPERATIVOS</t>
  </si>
  <si>
    <t>OPERATIVIDAD</t>
  </si>
  <si>
    <t>CORRALÓN</t>
  </si>
  <si>
    <t>LUGAR</t>
  </si>
  <si>
    <t>DISPOSITIVOS REALIZADOS</t>
  </si>
  <si>
    <t>DESPOLARIZADOS</t>
  </si>
  <si>
    <t>ANTECEDENTES REVISADOS A PERSONAS</t>
  </si>
  <si>
    <t>ANTECEDENTES REVISADOS A VEHÍCULOS</t>
  </si>
  <si>
    <t>ANTECEDENTES REVISADOS A MOTOCICLETAS</t>
  </si>
  <si>
    <t>TOTAL ANTECEDENTES REVISADOS</t>
  </si>
  <si>
    <t>VEHÍCULOS</t>
  </si>
  <si>
    <t>MOTOS</t>
  </si>
  <si>
    <t>RELÁMPAGO</t>
  </si>
  <si>
    <t>CARRUSEL</t>
  </si>
  <si>
    <t>BLINDAJE</t>
  </si>
  <si>
    <t>CONCIENTIZACIÓN A MOTOCICLISTAS</t>
  </si>
  <si>
    <t>PUESTO DE REVISIÓN</t>
  </si>
  <si>
    <t>PUESTO DE CONTROL</t>
  </si>
  <si>
    <t>APOYO COCOTRA</t>
  </si>
  <si>
    <t>BLINDAJE CON ESTADOS COLINDANTES</t>
  </si>
  <si>
    <t>BASES DE OPERACIONES INTERINSTITUCIONAL</t>
  </si>
  <si>
    <t>OTROS OPERATIVOS (Especificar en las novedades relevantes)</t>
  </si>
  <si>
    <t>No.</t>
  </si>
  <si>
    <t>CATEGORÍA</t>
  </si>
  <si>
    <t>ACTIVIDAD</t>
  </si>
  <si>
    <t>CANTIDAD</t>
  </si>
  <si>
    <t>ESTADO DE FUERZA PARTICIPANTE</t>
  </si>
  <si>
    <t>PERSONAS ALCANZADAS</t>
  </si>
  <si>
    <t>RECOMENDACIONES</t>
  </si>
  <si>
    <t xml:space="preserve">INSTITUCIONES </t>
  </si>
  <si>
    <t>APOYO A EVENTOS PÚBLICOS</t>
  </si>
  <si>
    <t>APOYO A EVENTOS DEPORTIVOS</t>
  </si>
  <si>
    <t>APOYO A EVENTOS CULTURALES</t>
  </si>
  <si>
    <t>APOYO A EVENTOS RELIGIOSOS</t>
  </si>
  <si>
    <t>APOYOS A OTRAS DEPENDENCIAS (Publicas o privadas)</t>
  </si>
  <si>
    <t>ESCUELAS</t>
  </si>
  <si>
    <t>DILIGENCIAS</t>
  </si>
  <si>
    <t>OTROS TIPOS (Especificar en las novedades relevantes)</t>
  </si>
  <si>
    <t>REPORTES C5i</t>
  </si>
  <si>
    <t>OBSTRUCCIÓN DE COCHERAS</t>
  </si>
  <si>
    <t xml:space="preserve">OTROS TIPOS DE OBSTRUCCIÓN </t>
  </si>
  <si>
    <t>ACTOS DELICTIVOS</t>
  </si>
  <si>
    <t>HECHOS DE TRÁNSITO</t>
  </si>
  <si>
    <t>CONSENTRACION PERSONAS</t>
  </si>
  <si>
    <t>OTROS REPORTES (Especificar en las novedades relevantes)</t>
  </si>
  <si>
    <t>ABANDERAMIENTOS</t>
  </si>
  <si>
    <t>CORTES DE CIRCULACIÓN</t>
  </si>
  <si>
    <t>ACCIDENTES</t>
  </si>
  <si>
    <t>MARCHAS</t>
  </si>
  <si>
    <t>MÍTINES</t>
  </si>
  <si>
    <t>OBRAS PÚBLICAS</t>
  </si>
  <si>
    <t>ACOMPAÑAMIENTO A CARAVANAS U OTROS</t>
  </si>
  <si>
    <t>OTROS ABANDERAMIENTOS (Especificar en las novedades relevantes)</t>
  </si>
  <si>
    <t xml:space="preserve">CONCIENTIZACIÓN USO DE CASCO </t>
  </si>
  <si>
    <t>PROGRAMAS</t>
  </si>
  <si>
    <t>CONDUCE SIN ALCOHOL (ALCOHOLÍMETRO)</t>
  </si>
  <si>
    <t>OTROS PROGRAMAS (Especificar en las novedades relevantes)</t>
  </si>
  <si>
    <t xml:space="preserve">MONITOREOS </t>
  </si>
  <si>
    <t>VÍAS FÉRREAS</t>
  </si>
  <si>
    <t>PERIFÉRICOS</t>
  </si>
  <si>
    <t>AVENIDAS</t>
  </si>
  <si>
    <t>TIENDAS DEPARTAMENTALES</t>
  </si>
  <si>
    <t>BANCOS</t>
  </si>
  <si>
    <t>GASOLINERAS</t>
  </si>
  <si>
    <t>OFICINAS GUBERNAMENTALES</t>
  </si>
  <si>
    <t>MANIFESTACIONES</t>
  </si>
  <si>
    <t>OTROS MONITOREOS (Especificar en las novedades relevantes)</t>
  </si>
  <si>
    <t>AUXILIO VIAL A CONDUCTORES</t>
  </si>
  <si>
    <t>FALLAS MECÁNICAS</t>
  </si>
  <si>
    <t>PEATÓN</t>
  </si>
  <si>
    <t xml:space="preserve">ESCOLTA EN SITUACIONES DE EMERGENCIA </t>
  </si>
  <si>
    <t>AGRICOLAS</t>
  </si>
  <si>
    <t>OTROS AUXILIOS (Especificar en las novedades relevantes)</t>
  </si>
  <si>
    <t xml:space="preserve">DISPOSITIVOS DE SEGURIDAD VIAL </t>
  </si>
  <si>
    <t>APOYO A LA VIALIDAD</t>
  </si>
  <si>
    <t>PASO LIBRE DE FUNCIONARIOS</t>
  </si>
  <si>
    <t>ZONAS DE MAYOR PASE DE TRANSEÚNTES</t>
  </si>
  <si>
    <t>PASOS PEATONALES</t>
  </si>
  <si>
    <t>MEDIDAS DE PROTECCIÓN</t>
  </si>
  <si>
    <t>PATRULLAJES</t>
  </si>
  <si>
    <t>SERVICIOS DE ESCOLTAS</t>
  </si>
  <si>
    <t>OTROS (Especificar en las novedades relevantes)</t>
  </si>
  <si>
    <t>CAPACITACIONES</t>
  </si>
  <si>
    <t>TALLER EDUCACIÓN SEGURIDAD VIAL</t>
  </si>
  <si>
    <t>CAMPAÑA EDUCACIÓN SEGURIDAD VIAL</t>
  </si>
  <si>
    <t>CAPACITACIONES EDUCACIÓN SEGURIDAD VIAL</t>
  </si>
  <si>
    <t>MÓDULOS EDUCACIÓN SEGURIDAD VIAL</t>
  </si>
  <si>
    <t>SSP</t>
  </si>
  <si>
    <t>CALEA</t>
  </si>
  <si>
    <t>OTRAS (Especificar en las novedades relevantes)</t>
  </si>
  <si>
    <t>CAMPAÑAS</t>
  </si>
  <si>
    <t>CONCIENTIZACIÓN Y PREVENCIÓN</t>
  </si>
  <si>
    <t>REPARTICIÓN DE TRÍPTICOS</t>
  </si>
  <si>
    <t>ESTACIONALES (SEMANA SANTA, NAVIDAD ETC.)</t>
  </si>
  <si>
    <t xml:space="preserve">PROXIMIDAD SOCIAL </t>
  </si>
  <si>
    <t>PREVENCIÓN SOCIAL</t>
  </si>
  <si>
    <t>RECORRIDOS DE PROXIMIDAD</t>
  </si>
  <si>
    <t>APOYO A TURISTAS</t>
  </si>
  <si>
    <t>APOYO A PERSONAS DE LA TERCERA EDAD</t>
  </si>
  <si>
    <t>APOYO A PERSONAS PERDIDAS</t>
  </si>
  <si>
    <t>RECUPERACIÓN DE ESPACIOS</t>
  </si>
  <si>
    <t>CONTROL VEHÍCULAR</t>
  </si>
  <si>
    <t>MOTOCICLETAS</t>
  </si>
  <si>
    <t>CAMIONES</t>
  </si>
  <si>
    <t>REVISIÓN DE ANTECEDENTES</t>
  </si>
  <si>
    <t>VEHÍCULOS REVISADOS DE PROCEDENCIA EXTRANJERA</t>
  </si>
  <si>
    <t>DESPOLARIZADO</t>
  </si>
  <si>
    <t>CORRALON POR FALTAS ADMINISTRATIVAS</t>
  </si>
  <si>
    <t>CORRALÓN POR HECHOS DE TRANSITO</t>
  </si>
  <si>
    <t>PUESTOS A DISPOSICIÓN DEL MP POR HECHO DE TRÁNSITO</t>
  </si>
  <si>
    <t>PRESENTADOS AL MP</t>
  </si>
  <si>
    <t>RESGUARDADOS POR ABANDONO</t>
  </si>
  <si>
    <t>ASEGURADOS POR HECHOS DELICTIVOS</t>
  </si>
  <si>
    <t>RECUPERADOS CON ALTERACIONES EN SUS MEDIOS DE IDENTIFICACIÓN</t>
  </si>
  <si>
    <t>RECUPERADOS CON REPORTE DE ROBO</t>
  </si>
  <si>
    <t>CONOCIMIENTO DE REPORTE DE ROBO</t>
  </si>
  <si>
    <t>ASEGURADOS POR OTROS MOTIVOS</t>
  </si>
  <si>
    <t>CONTROL DE ASEGURAMIENTOS</t>
  </si>
  <si>
    <t>PERSONAS ASEGURADAS</t>
  </si>
  <si>
    <t>DROGA</t>
  </si>
  <si>
    <t>CONSULTA DE ANTECEDENTES PENALES</t>
  </si>
  <si>
    <t>PERSONAS A BARANDILLA</t>
  </si>
  <si>
    <t>CORTAS</t>
  </si>
  <si>
    <t>MARIHUANA GRS</t>
  </si>
  <si>
    <t>POR ALCOHOLEMIA</t>
  </si>
  <si>
    <t>LARGAS</t>
  </si>
  <si>
    <t>CRISTAL GRS</t>
  </si>
  <si>
    <t>PERSONAS PRESENTADAS AL MP</t>
  </si>
  <si>
    <t>COCAINA GRS</t>
  </si>
  <si>
    <t>POR ROBOS DIVERSOS</t>
  </si>
  <si>
    <t>CARTUCHOS</t>
  </si>
  <si>
    <t>PASTILLAS</t>
  </si>
  <si>
    <t>POR LESIONES</t>
  </si>
  <si>
    <t>GRANADAS</t>
  </si>
  <si>
    <t>PLANTIOS</t>
  </si>
  <si>
    <t>POR HOMICIDIO CULPOSO</t>
  </si>
  <si>
    <t>LANZA GRANADAS</t>
  </si>
  <si>
    <t>PLANTAS DE MARIHUANA</t>
  </si>
  <si>
    <t>POR HOMICIDIO DOLOSO</t>
  </si>
  <si>
    <t>PUNZOCORTANTE</t>
  </si>
  <si>
    <t>OTRAS DROGAS</t>
  </si>
  <si>
    <t>PERSONAS AL MP POR VEHÍCULOS, MOTOS O CAMIONES ROBADOS</t>
  </si>
  <si>
    <t>PERSONAS AL MP POR PORTACION DE ARMAS</t>
  </si>
  <si>
    <t>PERSONAS AL MP POR DROGA</t>
  </si>
  <si>
    <t>OTROS DELITOS</t>
  </si>
  <si>
    <t>OTROS ASEGURAMIENTOS</t>
  </si>
  <si>
    <t>AGUACATE</t>
  </si>
  <si>
    <t>MADERA</t>
  </si>
  <si>
    <t>DINERO</t>
  </si>
  <si>
    <t>OTROS ASEGURAMIENTOS (AGREGARLOS)</t>
  </si>
  <si>
    <t xml:space="preserve">RESUELTOS </t>
  </si>
  <si>
    <t>HOMBRES INVOLUCRADOS</t>
  </si>
  <si>
    <t>PENDIENTES</t>
  </si>
  <si>
    <t>MUJERES INVOLUCRADAS</t>
  </si>
  <si>
    <t xml:space="preserve">TURNADOS </t>
  </si>
  <si>
    <t>MENORES INVOLUCRADOS</t>
  </si>
  <si>
    <t>LESIONADOS</t>
  </si>
  <si>
    <t>HERIDOS</t>
  </si>
  <si>
    <t>DEFUNCIONES</t>
  </si>
  <si>
    <t>EXPLOSIÓN</t>
  </si>
  <si>
    <t>INCENDIO</t>
  </si>
  <si>
    <t>DESBARRANCAMIENTO</t>
  </si>
  <si>
    <t>VOLCADURA</t>
  </si>
  <si>
    <t>SALIDA DE RODAMIENTO</t>
  </si>
  <si>
    <t>SUBIDA A CAMELLÓN</t>
  </si>
  <si>
    <t>CAIDA DE MOTOCICLETA</t>
  </si>
  <si>
    <t>CHOQUE OBJETO FIJO</t>
  </si>
  <si>
    <t>COLISIÓN POR ALCANCE</t>
  </si>
  <si>
    <t>COLISIÓN POR NO RESPETAR SEMÁFORO</t>
  </si>
  <si>
    <t>COLISIÓN POR INVASIÓN DE CARRIL</t>
  </si>
  <si>
    <t>COLISIÓN POR CAMBIO DE CARRIL</t>
  </si>
  <si>
    <t>COLISIÓN POR CORTE DE CIRCULACIÓN</t>
  </si>
  <si>
    <t>COLISIÓN POR MANIOBRA REVERSA</t>
  </si>
  <si>
    <t>CAIDA A CUNETA</t>
  </si>
  <si>
    <t>CAIDA ACUÁTICA DE VEHÍCULO</t>
  </si>
  <si>
    <t>COLISIÓN CON PEATÓN</t>
  </si>
  <si>
    <t>CHOQUE ENTRE CAMIÓN Y MOTOCICLETA</t>
  </si>
  <si>
    <t>MONTO DAÑOS MATERIALES ($)</t>
  </si>
  <si>
    <t>CHOQUE ENTRE CAMIÓN Y VEHÍCULO</t>
  </si>
  <si>
    <t>MONTO VEHÍCULOS</t>
  </si>
  <si>
    <t>CHOQUE ENTRE MOTOCICLETAS</t>
  </si>
  <si>
    <t>MONTO OTROS</t>
  </si>
  <si>
    <t>CHOQUE ENTRE VEHÍCULOS</t>
  </si>
  <si>
    <t>CHOQUE ENTRE MOTOCICLETA Y VEHÍCULO</t>
  </si>
  <si>
    <t>CHOQUE ENTRE VEHÍCULO Y PEATÓN</t>
  </si>
  <si>
    <t>CHOQUE DE VEHÍCULO UNICO</t>
  </si>
  <si>
    <t>SERVICIO PÚBLICO FED</t>
  </si>
  <si>
    <t>VEHÍCULOS PARTICULARES INVOL.</t>
  </si>
  <si>
    <t>TRANSPORTE PÚBLICO</t>
  </si>
  <si>
    <t>VEHÍCULOS SERV. PÚBLIC. INVOL.</t>
  </si>
  <si>
    <t>AUTOMÓVIL</t>
  </si>
  <si>
    <t>MOTOS INVOLUCRADAS</t>
  </si>
  <si>
    <t>CAMIONETA</t>
  </si>
  <si>
    <t xml:space="preserve">VEHÍCULOS OFICIALES INVOL </t>
  </si>
  <si>
    <t>MICROBUS</t>
  </si>
  <si>
    <t>CAMIÓN URBANO DE PASAJEROS</t>
  </si>
  <si>
    <t>LIBERACIONES</t>
  </si>
  <si>
    <t>OMNIBUS</t>
  </si>
  <si>
    <t>LIBERACIÓN MOTOCICLETAS</t>
  </si>
  <si>
    <t>CAMIONETA DE CARGA</t>
  </si>
  <si>
    <t>LIBERACIÓN VEHÍCULOS</t>
  </si>
  <si>
    <t>CAMION DE CARGA</t>
  </si>
  <si>
    <t>LIBERACIÓN CAMIONES</t>
  </si>
  <si>
    <t>TRACTOR</t>
  </si>
  <si>
    <t>LIBERACIÓN REMOLQUES</t>
  </si>
  <si>
    <t>FERROCARRIL</t>
  </si>
  <si>
    <t>MOTOCICLETA</t>
  </si>
  <si>
    <t>BICICLETA</t>
  </si>
  <si>
    <t>ÁREAS AUXILIARES</t>
  </si>
  <si>
    <t>OTRO</t>
  </si>
  <si>
    <t>EXÁMEN TEÓRICO</t>
  </si>
  <si>
    <t>SEMOVIENTE</t>
  </si>
  <si>
    <t>N°.</t>
  </si>
  <si>
    <t>HORA</t>
  </si>
  <si>
    <t xml:space="preserve">    LUGAR</t>
  </si>
  <si>
    <t>ASUNTO</t>
  </si>
  <si>
    <t>RESOLUCIÓN</t>
  </si>
  <si>
    <t>VEHÍCULOS TURNADOS, PERSONAS DETENIDAS, VEHÍCULOS RECUPERADOS (CANTIDAD Y DATOS GENERALES)</t>
  </si>
  <si>
    <t>GRAFICA 1</t>
  </si>
  <si>
    <t>GRAFICA 2</t>
  </si>
  <si>
    <t>GRAFICA 3</t>
  </si>
  <si>
    <t>Av. Escuadrón 201 y Joaquín Rivadeyra, col. Guadalupe, Morelia, Michoacán</t>
  </si>
  <si>
    <r>
      <rPr>
        <sz val="10"/>
        <rFont val="Calibri"/>
      </rPr>
      <t xml:space="preserve">Se informa que, que se atiende hecho de transito clasificado como </t>
    </r>
    <r>
      <rPr>
        <b/>
        <sz val="10"/>
        <rFont val="Calibri"/>
      </rPr>
      <t>COLISIÓN POR NO RESPETAR SEMAFORO</t>
    </r>
    <r>
      <rPr>
        <sz val="10"/>
        <rFont val="Calibri"/>
      </rPr>
      <t xml:space="preserve">  sin personas lesionadas, sobre Av. Escuadrón 201 y Joaquín Rivadeyra, col. Guadalupe, donde participan:
MOTOCICLETA (A) Marca Vento, Modelo 2022, Tipo Trabajo, Línea Xpress 150, Color Blanco y Rojo, Placas para circular 92PMA7 del servicio particular de esta entidad federativa, Serie 3MUA0DBD4N1013905, el cual se encontraba abandonado; AUTOMOVIL (B) Marca Suzuki, Modelo 2022, Tipo Suv, Línea Ertiga, Color Plata, Placas para circular PPT854A del servicio particular de esta entidad federativa, Serie MHYNC22S0NJ11930, tarjeta de circulación a nombre de NORMA EVELIA RODRIGUEZ GERREIRA, conducido por el C. ALEJANDRO CONEJO RODRIGUEZ de 26 años de edad, con domicilio en Emilio Carranza # 633, colonia Jardines de Guadalupe, en esta ciudad, presento licencia vigente</t>
    </r>
  </si>
  <si>
    <r>
      <rPr>
        <sz val="10"/>
        <rFont val="Calibri"/>
      </rPr>
      <t xml:space="preserve">Dos vehículos fueron retirados del lugar y resguardados en el corralón de Grúas </t>
    </r>
    <r>
      <rPr>
        <b/>
        <sz val="10"/>
        <rFont val="Calibri"/>
      </rPr>
      <t>HERNANDEZ</t>
    </r>
    <r>
      <rPr>
        <sz val="10"/>
        <rFont val="Calibri"/>
      </rPr>
      <t>, para su puesta a disposición del Ministerio público.</t>
    </r>
  </si>
  <si>
    <t>2 vehiculos turnados: Marca Vento, Modelo 2022, Tipo Trabajo, Línea Xpress 150, Color Blanco y Rojo, Placas para circular 92PMA7 del servicio particular de esta entidad federativa, Serie 3MUA0DBD4N1013905; Marca Suzuki, Modelo 2022, Tipo Suv, Línea Ertiga, Color Plata, Placas para circular PPT854A del servicio particular de esta entidad federativa, Serie MHYNC22S0NJ11930</t>
  </si>
  <si>
    <t>Boulevard Agustín Arriaga Rivera y Aristeo Mercado, col. Chapultepec Sur, Morelia, Michoacán</t>
  </si>
  <si>
    <r>
      <rPr>
        <sz val="10"/>
        <rFont val="Calibri"/>
      </rPr>
      <t xml:space="preserve">Se informa que, que se atiende hecho de transito clasificado como </t>
    </r>
    <r>
      <rPr>
        <b/>
        <sz val="10"/>
        <rFont val="Calibri"/>
      </rPr>
      <t>COLISIÓN POR CORTE DE CIRCULACIÓN</t>
    </r>
    <r>
      <rPr>
        <sz val="10"/>
        <rFont val="Calibri"/>
      </rPr>
      <t xml:space="preserve">  sin personas lesionadas, sobre Boulevard Agustín Arriaga Rivera y Aristeo Mercado, col. Chapultepec Sur, donde participan:
AUTOMOVIL (A) Marca Ford, Modelo 2008, Tipo Sedán, Línea Fiesta, Color Gris, Placas para circular NYE3710 del servicio particular del Estado de México, Serie WF0HT03482113523, tarjeta de circulación a nombre de MIGUEL ANGEL TOVAR ANAYA, conducido por el C. MARCO ANTONIO TEJADA NAVA, presentó licencia de Chofer; AUTOMOVIL (B) Marca Dodge, Modelo 2015, Tipo Suv, Línea Journey, Color Negro, Placas para circular PPG969B del servicio particular de esta entidad federativa, Serie 3C4PDCCB0FT592948, tarjeta de circulación a nombre del C. GERARDO SANCHEZ SILVA, presentó licencia de automovilista</t>
    </r>
  </si>
  <si>
    <r>
      <rPr>
        <sz val="10"/>
        <rFont val="Calibri"/>
      </rPr>
      <t xml:space="preserve">Dos vehículos fueron retirados del lugar y resguardados en el corralón de Grúas </t>
    </r>
    <r>
      <rPr>
        <b/>
        <sz val="10"/>
        <rFont val="Calibri"/>
      </rPr>
      <t>MUÑOZ</t>
    </r>
    <r>
      <rPr>
        <sz val="10"/>
        <rFont val="Calibri"/>
      </rPr>
      <t>, para su puesta a disposición del Ministerio público.</t>
    </r>
  </si>
  <si>
    <t>2 vehiculos turnados: Marca Ford, Modelo 2008, Tipo Sedán, Línea Fiesta, Color Gris, Placas para circular NYE3710 del servicio particular del Estado de México, Serie WF0HT03482113523; Marca Dodge, Modelo 2015, Tipo Suv, Línea Journey, Color Negro, Placas para circular PPG969B del servicio particular de esta entidad federativa, Serie 3C4PDCCB0FT592948</t>
  </si>
  <si>
    <t>CAMPAÑA CONCIENTIZACION Y PREVENCIÓN</t>
  </si>
  <si>
    <t>REPARTICIÓN DE TRIPTICOS</t>
  </si>
  <si>
    <t>ELEMENTOS</t>
  </si>
  <si>
    <t>UNIDADES</t>
  </si>
  <si>
    <t>TOTAL, DE PERSONAS SENCIBILIZADAS</t>
  </si>
  <si>
    <t xml:space="preserve">ATENCIÓN A SINIESTROS  KMS </t>
  </si>
  <si>
    <t>INI A</t>
  </si>
  <si>
    <t>FIN B</t>
  </si>
  <si>
    <t xml:space="preserve">KMS RECORR </t>
  </si>
  <si>
    <t xml:space="preserve">NO. </t>
  </si>
  <si>
    <t>ECO</t>
  </si>
  <si>
    <t>PLACA</t>
  </si>
  <si>
    <t xml:space="preserve">NIV </t>
  </si>
  <si>
    <t>ENTRADA</t>
  </si>
  <si>
    <t>FIN</t>
  </si>
  <si>
    <t xml:space="preserve">DIFERENCIA </t>
  </si>
  <si>
    <t>04-137</t>
  </si>
  <si>
    <t>MC-523-A1</t>
  </si>
  <si>
    <t>2C3CDXAT6EH223637</t>
  </si>
  <si>
    <t>MC865A1</t>
  </si>
  <si>
    <t>2C3CDXAG6GH205077</t>
  </si>
  <si>
    <t>MC758A1</t>
  </si>
  <si>
    <t>3C6TR5DT1GG277564</t>
  </si>
  <si>
    <t>MC082A2</t>
  </si>
  <si>
    <t>2C3CDXA686H211365</t>
  </si>
  <si>
    <t>MC-753-A1</t>
  </si>
  <si>
    <t>2C3CDXAG8GH211415</t>
  </si>
  <si>
    <t>MC-035-A2</t>
  </si>
  <si>
    <t>2C3CDXAG5GH211274</t>
  </si>
  <si>
    <t>MC-007-A2</t>
  </si>
  <si>
    <t>2C3CDXAG8GH205291</t>
  </si>
  <si>
    <t>MC376A1</t>
  </si>
  <si>
    <t>2C3CDXAGXGH205082</t>
  </si>
  <si>
    <t>MC-085-A2</t>
  </si>
  <si>
    <t>2C3CDXAG5GH197084</t>
  </si>
  <si>
    <t>MC-361A1</t>
  </si>
  <si>
    <t>2C3CDXAG3GH205294</t>
  </si>
  <si>
    <t>MC-084-A2</t>
  </si>
  <si>
    <t>2C3CDXAG4GH211282</t>
  </si>
  <si>
    <t>MC-756-A1</t>
  </si>
  <si>
    <t>2C3CDXAG3GH211337</t>
  </si>
  <si>
    <t>04-174</t>
  </si>
  <si>
    <t>MC615A4</t>
  </si>
  <si>
    <t>1C4AJPAB6FD179530</t>
  </si>
  <si>
    <t>04-301</t>
  </si>
  <si>
    <t>MC485A4</t>
  </si>
  <si>
    <t>3N1EB31S2EK346264</t>
  </si>
  <si>
    <t>16-726</t>
  </si>
  <si>
    <t>MC14B</t>
  </si>
  <si>
    <t>JKAKLEE18GDA87726</t>
  </si>
  <si>
    <t>16-872</t>
  </si>
  <si>
    <t>MC58B</t>
  </si>
  <si>
    <t>JKAKLEE19GDA85872</t>
  </si>
  <si>
    <t>16-888</t>
  </si>
  <si>
    <t>MC60D</t>
  </si>
  <si>
    <t>JKAKLEE11GDA87888</t>
  </si>
  <si>
    <t>16-120</t>
  </si>
  <si>
    <t>MC17B</t>
  </si>
  <si>
    <t>JKAKLEE10GDA86120</t>
  </si>
  <si>
    <t>16-889</t>
  </si>
  <si>
    <t>MC89A</t>
  </si>
  <si>
    <t>JKAKLEE13GDA87889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</si>
</sst>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35" x14ac:knownFonts="1">
    <font>
      <sz val="11"/>
      <name val="Calibri"/>
      <scheme val="minor"/>
    </font>
    <font>
      <sz val="11"/>
      <name val="Calibri"/>
    </font>
    <font>
      <b/>
      <sz val="12"/>
      <name val="Calibri"/>
    </font>
    <font>
      <b/>
      <sz val="22"/>
      <name val="Calibri"/>
    </font>
    <font>
      <sz val="11"/>
      <name val="Calibri"/>
    </font>
    <font>
      <b/>
      <sz val="10"/>
      <color rgb="FF000000"/>
      <name val="Calibri"/>
    </font>
    <font>
      <b/>
      <i/>
      <sz val="10"/>
      <color rgb="FF000000"/>
      <name val="Calibri"/>
    </font>
    <font>
      <i/>
      <sz val="10"/>
      <color rgb="FF000000"/>
      <name val="Calibri"/>
    </font>
    <font>
      <sz val="10"/>
      <color rgb="FF000000"/>
      <name val="Calibri"/>
    </font>
    <font>
      <sz val="12"/>
      <name val="Calibri"/>
    </font>
    <font>
      <b/>
      <sz val="16"/>
      <name val="Calibri"/>
    </font>
    <font>
      <b/>
      <i/>
      <sz val="12"/>
      <name val="Calibri"/>
    </font>
    <font>
      <b/>
      <sz val="16"/>
      <name val="Calibri"/>
    </font>
    <font>
      <b/>
      <sz val="11"/>
      <color rgb="FF000000"/>
      <name val="Calibri"/>
    </font>
    <font>
      <b/>
      <i/>
      <sz val="14"/>
      <name val="Calibri"/>
    </font>
    <font>
      <b/>
      <i/>
      <sz val="11"/>
      <name val="Calibri"/>
    </font>
    <font>
      <sz val="11"/>
      <color rgb="FF000000"/>
      <name val="Calibri"/>
    </font>
    <font>
      <b/>
      <sz val="11"/>
      <name val="Calibri"/>
    </font>
    <font>
      <b/>
      <sz val="7"/>
      <color rgb="FF000000"/>
      <name val="Calibri"/>
    </font>
    <font>
      <b/>
      <sz val="20"/>
      <name val="Calibri"/>
    </font>
    <font>
      <b/>
      <sz val="16"/>
      <color rgb="FF000000"/>
      <name val="Calibri"/>
    </font>
    <font>
      <sz val="7"/>
      <color rgb="FF000000"/>
      <name val="Calibri"/>
    </font>
    <font>
      <b/>
      <i/>
      <sz val="7"/>
      <color rgb="FF000000"/>
      <name val="Calibri"/>
    </font>
    <font>
      <i/>
      <sz val="7"/>
      <color rgb="FF000000"/>
      <name val="Calibri"/>
    </font>
    <font>
      <sz val="7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i/>
      <sz val="11"/>
      <color rgb="FF000000"/>
      <name val="Calibri"/>
    </font>
    <font>
      <b/>
      <sz val="26"/>
      <name val="Calibri"/>
    </font>
    <font>
      <b/>
      <sz val="14"/>
      <name val="Calibri"/>
    </font>
    <font>
      <i/>
      <sz val="11"/>
      <name val="Calibri"/>
    </font>
    <font>
      <sz val="10"/>
      <name val="Calibri"/>
    </font>
    <font>
      <b/>
      <sz val="9"/>
      <color rgb="FF000000"/>
      <name val="Calibri"/>
    </font>
    <font>
      <b/>
      <sz val="36"/>
      <name val="Calibri"/>
    </font>
    <font>
      <b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002060"/>
        <bgColor rgb="FF002060"/>
      </patternFill>
    </fill>
    <fill>
      <patternFill patternType="solid">
        <fgColor rgb="FFBDD6EE"/>
        <bgColor rgb="FFBDD6EE"/>
      </patternFill>
    </fill>
    <fill>
      <patternFill patternType="solid">
        <fgColor rgb="FF0070C0"/>
        <bgColor rgb="FF0070C0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9CC2E5"/>
        <bgColor rgb="FF9CC2E5"/>
      </patternFill>
    </fill>
    <fill>
      <patternFill patternType="solid">
        <fgColor rgb="FFD9D9D9"/>
        <bgColor rgb="FFD9D9D9"/>
      </patternFill>
    </fill>
    <fill>
      <patternFill patternType="solid">
        <fgColor theme="4" tint="0.39997558519241921"/>
        <bgColor indexed="64"/>
      </patternFill>
    </fill>
  </fills>
  <borders count="8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 applyFont="1" applyAlignment="1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 wrapText="1"/>
    </xf>
    <xf numFmtId="14" fontId="2" fillId="3" borderId="3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textRotation="90" wrapText="1"/>
    </xf>
    <xf numFmtId="0" fontId="8" fillId="4" borderId="10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14" fontId="11" fillId="5" borderId="12" xfId="0" applyNumberFormat="1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textRotation="90" wrapText="1"/>
    </xf>
    <xf numFmtId="0" fontId="6" fillId="0" borderId="10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right" vertical="center" wrapText="1"/>
    </xf>
    <xf numFmtId="14" fontId="15" fillId="3" borderId="12" xfId="0" applyNumberFormat="1" applyFont="1" applyFill="1" applyBorder="1" applyAlignment="1">
      <alignment vertical="center" wrapText="1"/>
    </xf>
    <xf numFmtId="0" fontId="6" fillId="0" borderId="10" xfId="0" applyFont="1" applyBorder="1" applyAlignment="1">
      <alignment horizontal="center" vertical="center" textRotation="90" wrapText="1"/>
    </xf>
    <xf numFmtId="0" fontId="16" fillId="0" borderId="10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center"/>
    </xf>
    <xf numFmtId="0" fontId="20" fillId="0" borderId="20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textRotation="90" wrapText="1"/>
    </xf>
    <xf numFmtId="0" fontId="22" fillId="0" borderId="20" xfId="0" applyFont="1" applyBorder="1" applyAlignment="1">
      <alignment horizontal="center" vertical="center" textRotation="90" wrapText="1"/>
    </xf>
    <xf numFmtId="0" fontId="23" fillId="0" borderId="20" xfId="0" applyFont="1" applyBorder="1" applyAlignment="1">
      <alignment horizontal="center" vertical="center" textRotation="90" wrapText="1"/>
    </xf>
    <xf numFmtId="0" fontId="24" fillId="6" borderId="1" xfId="0" applyFont="1" applyFill="1" applyBorder="1"/>
    <xf numFmtId="0" fontId="25" fillId="0" borderId="20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3" fontId="26" fillId="0" borderId="20" xfId="0" applyNumberFormat="1" applyFont="1" applyBorder="1" applyAlignment="1">
      <alignment horizontal="center" vertical="center" wrapText="1"/>
    </xf>
    <xf numFmtId="14" fontId="18" fillId="6" borderId="1" xfId="0" applyNumberFormat="1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wrapText="1"/>
    </xf>
    <xf numFmtId="0" fontId="21" fillId="0" borderId="2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14" fontId="3" fillId="3" borderId="20" xfId="0" applyNumberFormat="1" applyFont="1" applyFill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textRotation="90" wrapText="1"/>
    </xf>
    <xf numFmtId="0" fontId="13" fillId="0" borderId="27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textRotation="90" wrapText="1"/>
    </xf>
    <xf numFmtId="0" fontId="13" fillId="0" borderId="27" xfId="0" applyFont="1" applyBorder="1" applyAlignment="1">
      <alignment horizontal="center" vertical="center"/>
    </xf>
    <xf numFmtId="0" fontId="17" fillId="0" borderId="20" xfId="0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3" fillId="0" borderId="20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wrapText="1"/>
    </xf>
    <xf numFmtId="0" fontId="1" fillId="0" borderId="29" xfId="0" applyFont="1" applyBorder="1" applyAlignment="1">
      <alignment horizontal="left" wrapText="1"/>
    </xf>
    <xf numFmtId="0" fontId="13" fillId="0" borderId="29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14" fontId="12" fillId="0" borderId="0" xfId="0" applyNumberFormat="1" applyFont="1" applyAlignment="1">
      <alignment horizontal="left" wrapText="1"/>
    </xf>
    <xf numFmtId="0" fontId="17" fillId="5" borderId="31" xfId="0" applyFont="1" applyFill="1" applyBorder="1" applyAlignment="1">
      <alignment horizontal="center" vertical="center"/>
    </xf>
    <xf numFmtId="0" fontId="17" fillId="5" borderId="31" xfId="0" applyFont="1" applyFill="1" applyBorder="1" applyAlignment="1">
      <alignment horizontal="center" vertical="center" wrapText="1"/>
    </xf>
    <xf numFmtId="0" fontId="17" fillId="5" borderId="32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7" borderId="34" xfId="0" applyFont="1" applyFill="1" applyBorder="1" applyAlignment="1">
      <alignment horizontal="center" vertical="center" wrapText="1"/>
    </xf>
    <xf numFmtId="0" fontId="17" fillId="7" borderId="35" xfId="0" applyFont="1" applyFill="1" applyBorder="1" applyAlignment="1">
      <alignment horizontal="center" vertical="center" wrapText="1"/>
    </xf>
    <xf numFmtId="0" fontId="1" fillId="0" borderId="38" xfId="0" applyFont="1" applyBorder="1"/>
    <xf numFmtId="0" fontId="1" fillId="0" borderId="40" xfId="0" applyFont="1" applyBorder="1" applyAlignment="1">
      <alignment horizontal="center" vertical="center"/>
    </xf>
    <xf numFmtId="0" fontId="1" fillId="9" borderId="45" xfId="0" applyFont="1" applyFill="1" applyBorder="1"/>
    <xf numFmtId="0" fontId="1" fillId="9" borderId="39" xfId="0" applyFont="1" applyFill="1" applyBorder="1" applyAlignment="1">
      <alignment horizontal="center" vertical="center"/>
    </xf>
    <xf numFmtId="0" fontId="1" fillId="9" borderId="40" xfId="0" applyFont="1" applyFill="1" applyBorder="1" applyAlignment="1">
      <alignment horizontal="center" vertical="center"/>
    </xf>
    <xf numFmtId="3" fontId="1" fillId="9" borderId="39" xfId="0" applyNumberFormat="1" applyFont="1" applyFill="1" applyBorder="1" applyAlignment="1">
      <alignment horizontal="center" vertical="center"/>
    </xf>
    <xf numFmtId="3" fontId="1" fillId="9" borderId="40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0" borderId="38" xfId="0" applyFont="1" applyBorder="1" applyAlignment="1">
      <alignment vertical="center"/>
    </xf>
    <xf numFmtId="0" fontId="1" fillId="9" borderId="48" xfId="0" applyFont="1" applyFill="1" applyBorder="1"/>
    <xf numFmtId="0" fontId="1" fillId="0" borderId="49" xfId="0" applyFont="1" applyBorder="1"/>
    <xf numFmtId="0" fontId="17" fillId="7" borderId="52" xfId="0" applyFont="1" applyFill="1" applyBorder="1" applyAlignment="1">
      <alignment wrapText="1"/>
    </xf>
    <xf numFmtId="3" fontId="17" fillId="7" borderId="52" xfId="0" applyNumberFormat="1" applyFont="1" applyFill="1" applyBorder="1" applyAlignment="1">
      <alignment horizontal="center" vertical="center" wrapText="1"/>
    </xf>
    <xf numFmtId="3" fontId="17" fillId="7" borderId="5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7" fillId="5" borderId="34" xfId="0" applyFont="1" applyFill="1" applyBorder="1" applyAlignment="1">
      <alignment horizontal="center" vertical="center" wrapText="1"/>
    </xf>
    <xf numFmtId="0" fontId="17" fillId="5" borderId="35" xfId="0" applyFont="1" applyFill="1" applyBorder="1" applyAlignment="1">
      <alignment horizontal="center" vertical="center" wrapText="1"/>
    </xf>
    <xf numFmtId="0" fontId="17" fillId="0" borderId="54" xfId="0" applyFont="1" applyBorder="1" applyAlignment="1">
      <alignment horizontal="center" vertical="center" wrapText="1"/>
    </xf>
    <xf numFmtId="0" fontId="1" fillId="0" borderId="42" xfId="0" applyFont="1" applyBorder="1" applyAlignment="1">
      <alignment wrapText="1"/>
    </xf>
    <xf numFmtId="0" fontId="1" fillId="0" borderId="39" xfId="0" applyFont="1" applyBorder="1" applyAlignment="1">
      <alignment wrapText="1"/>
    </xf>
    <xf numFmtId="0" fontId="17" fillId="7" borderId="52" xfId="0" applyFont="1" applyFill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0" fontId="17" fillId="5" borderId="56" xfId="0" applyFont="1" applyFill="1" applyBorder="1" applyAlignment="1">
      <alignment horizontal="center" vertical="center" wrapText="1"/>
    </xf>
    <xf numFmtId="0" fontId="17" fillId="5" borderId="57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58" xfId="0" applyFont="1" applyBorder="1" applyAlignment="1">
      <alignment vertical="center" wrapText="1"/>
    </xf>
    <xf numFmtId="0" fontId="1" fillId="0" borderId="59" xfId="0" applyFont="1" applyBorder="1" applyAlignment="1">
      <alignment horizontal="left" vertical="center" wrapText="1"/>
    </xf>
    <xf numFmtId="0" fontId="1" fillId="0" borderId="60" xfId="0" applyFont="1" applyBorder="1" applyAlignment="1">
      <alignment vertical="center" wrapText="1"/>
    </xf>
    <xf numFmtId="0" fontId="1" fillId="0" borderId="61" xfId="0" applyFont="1" applyBorder="1" applyAlignment="1">
      <alignment horizontal="left" vertical="center" wrapText="1"/>
    </xf>
    <xf numFmtId="0" fontId="17" fillId="7" borderId="62" xfId="0" applyFont="1" applyFill="1" applyBorder="1" applyAlignment="1">
      <alignment horizontal="center" vertical="center" wrapText="1"/>
    </xf>
    <xf numFmtId="0" fontId="17" fillId="7" borderId="63" xfId="0" applyFont="1" applyFill="1" applyBorder="1" applyAlignment="1">
      <alignment horizontal="center" vertical="center" wrapText="1"/>
    </xf>
    <xf numFmtId="0" fontId="17" fillId="7" borderId="63" xfId="0" applyFont="1" applyFill="1" applyBorder="1" applyAlignment="1">
      <alignment horizontal="left" vertical="center" wrapText="1"/>
    </xf>
    <xf numFmtId="0" fontId="17" fillId="7" borderId="64" xfId="0" applyFont="1" applyFill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 wrapText="1"/>
    </xf>
    <xf numFmtId="0" fontId="1" fillId="0" borderId="59" xfId="0" applyFont="1" applyBorder="1" applyAlignment="1">
      <alignment vertical="center" wrapText="1"/>
    </xf>
    <xf numFmtId="0" fontId="17" fillId="0" borderId="61" xfId="0" applyFont="1" applyBorder="1" applyAlignment="1">
      <alignment horizontal="center" vertical="center" wrapText="1"/>
    </xf>
    <xf numFmtId="0" fontId="1" fillId="0" borderId="61" xfId="0" applyFont="1" applyBorder="1" applyAlignment="1">
      <alignment vertical="center" wrapText="1"/>
    </xf>
    <xf numFmtId="0" fontId="17" fillId="0" borderId="0" xfId="0" applyFont="1" applyAlignment="1">
      <alignment wrapText="1"/>
    </xf>
    <xf numFmtId="0" fontId="17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wrapText="1"/>
    </xf>
    <xf numFmtId="0" fontId="30" fillId="0" borderId="37" xfId="0" applyFont="1" applyBorder="1" applyAlignment="1">
      <alignment wrapText="1"/>
    </xf>
    <xf numFmtId="3" fontId="1" fillId="0" borderId="40" xfId="0" applyNumberFormat="1" applyFont="1" applyBorder="1" applyAlignment="1">
      <alignment horizontal="center" vertical="center"/>
    </xf>
    <xf numFmtId="164" fontId="17" fillId="7" borderId="53" xfId="0" applyNumberFormat="1" applyFont="1" applyFill="1" applyBorder="1" applyAlignment="1">
      <alignment horizontal="center" vertical="center" wrapText="1"/>
    </xf>
    <xf numFmtId="0" fontId="17" fillId="0" borderId="65" xfId="0" applyFont="1" applyBorder="1" applyAlignment="1">
      <alignment horizontal="center" vertical="center" wrapText="1"/>
    </xf>
    <xf numFmtId="0" fontId="17" fillId="0" borderId="66" xfId="0" applyFont="1" applyBorder="1" applyAlignment="1">
      <alignment horizontal="center" vertical="center" wrapText="1"/>
    </xf>
    <xf numFmtId="0" fontId="1" fillId="0" borderId="67" xfId="0" applyFont="1" applyBorder="1" applyAlignment="1">
      <alignment wrapText="1"/>
    </xf>
    <xf numFmtId="0" fontId="1" fillId="0" borderId="68" xfId="0" applyFont="1" applyBorder="1" applyAlignment="1">
      <alignment horizontal="center" vertical="center"/>
    </xf>
    <xf numFmtId="0" fontId="17" fillId="7" borderId="31" xfId="0" applyFont="1" applyFill="1" applyBorder="1" applyAlignment="1">
      <alignment horizontal="center" vertical="center" wrapText="1"/>
    </xf>
    <xf numFmtId="0" fontId="17" fillId="0" borderId="63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1" fillId="0" borderId="20" xfId="0" applyFont="1" applyBorder="1" applyAlignment="1">
      <alignment horizontal="center" vertical="center" wrapText="1"/>
    </xf>
    <xf numFmtId="20" fontId="31" fillId="0" borderId="20" xfId="0" applyNumberFormat="1" applyFont="1" applyBorder="1" applyAlignment="1">
      <alignment horizontal="center" vertical="center" wrapText="1"/>
    </xf>
    <xf numFmtId="0" fontId="31" fillId="0" borderId="20" xfId="0" applyFont="1" applyBorder="1" applyAlignment="1">
      <alignment horizontal="left" vertical="center" wrapText="1"/>
    </xf>
    <xf numFmtId="14" fontId="29" fillId="3" borderId="69" xfId="0" applyNumberFormat="1" applyFont="1" applyFill="1" applyBorder="1" applyAlignment="1">
      <alignment horizontal="center" vertical="center" wrapText="1"/>
    </xf>
    <xf numFmtId="0" fontId="32" fillId="0" borderId="27" xfId="0" applyFont="1" applyBorder="1" applyAlignment="1">
      <alignment horizontal="center" vertical="center" wrapText="1"/>
    </xf>
    <xf numFmtId="0" fontId="32" fillId="0" borderId="20" xfId="0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33" fillId="0" borderId="0" xfId="0" applyFont="1"/>
    <xf numFmtId="0" fontId="1" fillId="0" borderId="71" xfId="0" applyFont="1" applyBorder="1"/>
    <xf numFmtId="0" fontId="1" fillId="0" borderId="44" xfId="0" applyFont="1" applyBorder="1"/>
    <xf numFmtId="0" fontId="1" fillId="0" borderId="44" xfId="0" applyFont="1" applyBorder="1" applyAlignment="1">
      <alignment horizontal="left"/>
    </xf>
    <xf numFmtId="0" fontId="1" fillId="0" borderId="72" xfId="0" applyFont="1" applyBorder="1"/>
    <xf numFmtId="0" fontId="1" fillId="0" borderId="73" xfId="0" applyFont="1" applyBorder="1"/>
    <xf numFmtId="0" fontId="1" fillId="0" borderId="39" xfId="0" applyFont="1" applyBorder="1" applyAlignment="1">
      <alignment horizontal="center"/>
    </xf>
    <xf numFmtId="0" fontId="1" fillId="0" borderId="39" xfId="0" applyFont="1" applyBorder="1" applyAlignment="1">
      <alignment horizontal="left"/>
    </xf>
    <xf numFmtId="0" fontId="1" fillId="0" borderId="39" xfId="0" applyFont="1" applyBorder="1"/>
    <xf numFmtId="0" fontId="16" fillId="10" borderId="74" xfId="0" applyFont="1" applyFill="1" applyBorder="1"/>
    <xf numFmtId="0" fontId="4" fillId="0" borderId="0" xfId="0" applyFont="1"/>
    <xf numFmtId="0" fontId="16" fillId="0" borderId="75" xfId="0" applyFont="1" applyBorder="1"/>
    <xf numFmtId="0" fontId="16" fillId="10" borderId="76" xfId="0" applyFont="1" applyFill="1" applyBorder="1"/>
    <xf numFmtId="0" fontId="1" fillId="0" borderId="77" xfId="0" applyFont="1" applyBorder="1"/>
    <xf numFmtId="0" fontId="1" fillId="0" borderId="78" xfId="0" applyFont="1" applyBorder="1"/>
    <xf numFmtId="0" fontId="16" fillId="0" borderId="78" xfId="0" applyFont="1" applyBorder="1"/>
    <xf numFmtId="0" fontId="1" fillId="0" borderId="49" xfId="0" applyFont="1" applyBorder="1"/>
    <xf numFmtId="0" fontId="1" fillId="0" borderId="38" xfId="0" applyFont="1" applyBorder="1"/>
    <xf numFmtId="0" fontId="1" fillId="0" borderId="79" xfId="0" applyFont="1" applyBorder="1"/>
    <xf numFmtId="0" fontId="1" fillId="0" borderId="37" xfId="0" applyFont="1" applyBorder="1" applyAlignment="1">
      <alignment horizontal="center"/>
    </xf>
    <xf numFmtId="0" fontId="1" fillId="0" borderId="37" xfId="0" applyFont="1" applyBorder="1" applyAlignment="1">
      <alignment horizontal="left"/>
    </xf>
    <xf numFmtId="0" fontId="1" fillId="0" borderId="37" xfId="0" applyFont="1" applyBorder="1"/>
    <xf numFmtId="0" fontId="0" fillId="0" borderId="77" xfId="0" applyBorder="1" applyAlignment="1" applyProtection="1">
      <alignment horizontal="center" vertical="center"/>
      <protection locked="0"/>
    </xf>
    <xf numFmtId="0" fontId="0" fillId="0" borderId="80" xfId="0" applyBorder="1" applyAlignment="1" applyProtection="1">
      <alignment horizontal="center" vertical="center"/>
      <protection locked="0"/>
    </xf>
    <xf numFmtId="0" fontId="0" fillId="11" borderId="77" xfId="0" applyFill="1" applyBorder="1" applyAlignment="1" applyProtection="1">
      <alignment horizontal="center" vertical="center"/>
      <protection locked="0"/>
    </xf>
    <xf numFmtId="0" fontId="0" fillId="11" borderId="80" xfId="0" applyFill="1" applyBorder="1" applyAlignment="1" applyProtection="1">
      <alignment horizontal="center" vertical="center"/>
      <protection locked="0"/>
    </xf>
    <xf numFmtId="0" fontId="0" fillId="0" borderId="81" xfId="0" applyBorder="1" applyAlignment="1" applyProtection="1">
      <alignment horizontal="center" vertical="center"/>
      <protection locked="0"/>
    </xf>
    <xf numFmtId="0" fontId="0" fillId="0" borderId="82" xfId="0" applyBorder="1" applyAlignment="1" applyProtection="1">
      <alignment horizontal="center" vertical="center"/>
      <protection locked="0"/>
    </xf>
    <xf numFmtId="3" fontId="0" fillId="11" borderId="77" xfId="0" applyNumberFormat="1" applyFill="1" applyBorder="1" applyAlignment="1" applyProtection="1">
      <alignment horizontal="center" vertical="center"/>
      <protection locked="0"/>
    </xf>
    <xf numFmtId="0" fontId="5" fillId="4" borderId="9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3" fillId="3" borderId="4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4" fillId="0" borderId="6" xfId="0" applyFont="1" applyBorder="1"/>
    <xf numFmtId="0" fontId="11" fillId="5" borderId="13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4" fillId="0" borderId="15" xfId="0" applyFont="1" applyBorder="1"/>
    <xf numFmtId="0" fontId="7" fillId="0" borderId="1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8" fillId="6" borderId="18" xfId="0" applyFont="1" applyFill="1" applyBorder="1" applyAlignment="1">
      <alignment horizontal="center" vertical="center" wrapText="1"/>
    </xf>
    <xf numFmtId="0" fontId="4" fillId="0" borderId="19" xfId="0" applyFont="1" applyBorder="1"/>
    <xf numFmtId="0" fontId="12" fillId="3" borderId="13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4" fillId="0" borderId="23" xfId="0" applyFont="1" applyBorder="1"/>
    <xf numFmtId="0" fontId="4" fillId="0" borderId="24" xfId="0" applyFont="1" applyBorder="1"/>
    <xf numFmtId="0" fontId="13" fillId="7" borderId="13" xfId="0" applyFont="1" applyFill="1" applyBorder="1" applyAlignment="1">
      <alignment horizontal="center" vertical="center" wrapText="1"/>
    </xf>
    <xf numFmtId="0" fontId="13" fillId="8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4" fillId="0" borderId="26" xfId="0" applyFont="1" applyBorder="1"/>
    <xf numFmtId="0" fontId="28" fillId="3" borderId="25" xfId="0" applyFont="1" applyFill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/>
    </xf>
    <xf numFmtId="0" fontId="4" fillId="0" borderId="43" xfId="0" applyFont="1" applyBorder="1"/>
    <xf numFmtId="0" fontId="17" fillId="0" borderId="37" xfId="0" applyFont="1" applyBorder="1" applyAlignment="1">
      <alignment horizontal="center" vertical="center" wrapText="1"/>
    </xf>
    <xf numFmtId="0" fontId="4" fillId="0" borderId="44" xfId="0" applyFont="1" applyBorder="1"/>
    <xf numFmtId="0" fontId="17" fillId="9" borderId="36" xfId="0" applyFont="1" applyFill="1" applyBorder="1" applyAlignment="1">
      <alignment horizontal="center" vertical="center"/>
    </xf>
    <xf numFmtId="0" fontId="4" fillId="0" borderId="41" xfId="0" applyFont="1" applyBorder="1"/>
    <xf numFmtId="0" fontId="17" fillId="9" borderId="37" xfId="0" applyFont="1" applyFill="1" applyBorder="1" applyAlignment="1">
      <alignment horizontal="center" vertical="center" wrapText="1"/>
    </xf>
    <xf numFmtId="0" fontId="4" fillId="0" borderId="42" xfId="0" applyFont="1" applyBorder="1"/>
    <xf numFmtId="0" fontId="4" fillId="0" borderId="46" xfId="0" applyFont="1" applyBorder="1"/>
    <xf numFmtId="0" fontId="4" fillId="0" borderId="47" xfId="0" applyFont="1" applyBorder="1"/>
    <xf numFmtId="0" fontId="17" fillId="7" borderId="4" xfId="0" applyFont="1" applyFill="1" applyBorder="1" applyAlignment="1">
      <alignment horizontal="center" wrapText="1"/>
    </xf>
    <xf numFmtId="0" fontId="4" fillId="0" borderId="55" xfId="0" applyFont="1" applyBorder="1"/>
    <xf numFmtId="0" fontId="17" fillId="7" borderId="4" xfId="0" applyFont="1" applyFill="1" applyBorder="1" applyAlignment="1">
      <alignment horizontal="center" vertical="center" wrapText="1"/>
    </xf>
    <xf numFmtId="0" fontId="17" fillId="7" borderId="50" xfId="0" applyFont="1" applyFill="1" applyBorder="1" applyAlignment="1">
      <alignment horizontal="center" vertical="center" wrapText="1"/>
    </xf>
    <xf numFmtId="0" fontId="4" fillId="0" borderId="51" xfId="0" applyFont="1" applyBorder="1"/>
    <xf numFmtId="0" fontId="17" fillId="0" borderId="4" xfId="0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9" fillId="3" borderId="7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4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none"/>
      </fill>
    </dxf>
    <dxf>
      <fill>
        <patternFill patternType="none"/>
      </fill>
    </dxf>
  </dxfs>
  <tableStyles count="1">
    <tableStyle name="KILOMETRAJES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161925</xdr:colOff>
      <xdr:row>1</xdr:row>
      <xdr:rowOff>85725</xdr:rowOff>
    </xdr:from>
    <xdr:ext cx="2314575" cy="30861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123825</xdr:colOff>
      <xdr:row>1</xdr:row>
      <xdr:rowOff>76200</xdr:rowOff>
    </xdr:from>
    <xdr:ext cx="2352675" cy="3133725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342900</xdr:colOff>
      <xdr:row>1</xdr:row>
      <xdr:rowOff>66675</xdr:rowOff>
    </xdr:from>
    <xdr:ext cx="1943100" cy="3105150"/>
    <xdr:pic>
      <xdr:nvPicPr>
        <xdr:cNvPr id="4" name="image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2</xdr:row>
      <xdr:rowOff>542925</xdr:rowOff>
    </xdr:from>
    <xdr:ext cx="2457450" cy="1838325"/>
    <xdr:pic>
      <xdr:nvPicPr>
        <xdr:cNvPr id="5" name="image4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2</xdr:row>
      <xdr:rowOff>495300</xdr:rowOff>
    </xdr:from>
    <xdr:ext cx="2428875" cy="1819275"/>
    <xdr:pic>
      <xdr:nvPicPr>
        <xdr:cNvPr id="6" name="image5.jp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381000</xdr:colOff>
      <xdr:row>2</xdr:row>
      <xdr:rowOff>85725</xdr:rowOff>
    </xdr:from>
    <xdr:ext cx="1724025" cy="2762250"/>
    <xdr:pic>
      <xdr:nvPicPr>
        <xdr:cNvPr id="7" name="image6.jp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27" totalsRowCount="1">
  <tableColumns count="7">
    <tableColumn id="1" xr3:uid="{00000000-0010-0000-0000-000001000000}" name="NO. "/>
    <tableColumn id="2" xr3:uid="{00000000-0010-0000-0000-000002000000}" name="ECO"/>
    <tableColumn id="3" xr3:uid="{00000000-0010-0000-0000-000003000000}" name="PLACA"/>
    <tableColumn id="4" xr3:uid="{00000000-0010-0000-0000-000004000000}" name="NIV "/>
    <tableColumn id="5" xr3:uid="{00000000-0010-0000-0000-000005000000}" name="ENTRADA"/>
    <tableColumn id="6" xr3:uid="{00000000-0010-0000-0000-000006000000}" name="FIN"/>
    <tableColumn id="7" xr3:uid="{00000000-0010-0000-0000-000007000000}" name="DIFERENCIA " totalsRowFunction="custom">
      <totalsRowFormula>SUBTOTAL(109,KILOMETRAJES!$G$4:$G$26)</totalsRowFormula>
    </tableColumn>
  </tableColumns>
  <tableStyleInfo name="KILOMETRAJES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10" defaultColWidth="14.42578125" defaultRowHeight="15" customHeight="1" x14ac:dyDescent="0.25"/>
  <cols>
    <col min="1" max="1" width="4.42578125" customWidth="1"/>
    <col min="2" max="2" width="14.42578125" customWidth="1"/>
    <col min="3" max="3" width="16" customWidth="1"/>
    <col min="4" max="12" width="11.5703125" customWidth="1"/>
    <col min="13" max="13" width="14.28515625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9.25" customHeight="1" x14ac:dyDescent="0.25">
      <c r="A2" s="1"/>
      <c r="B2" s="2" t="s">
        <v>0</v>
      </c>
      <c r="C2" s="3">
        <v>45453</v>
      </c>
      <c r="D2" s="160" t="s">
        <v>1</v>
      </c>
      <c r="E2" s="161"/>
      <c r="F2" s="161"/>
      <c r="G2" s="161"/>
      <c r="H2" s="161"/>
      <c r="I2" s="161"/>
      <c r="J2" s="161"/>
      <c r="K2" s="161"/>
      <c r="L2" s="161"/>
      <c r="M2" s="162"/>
    </row>
    <row r="3" spans="1:13" ht="33.75" x14ac:dyDescent="0.25">
      <c r="A3" s="1"/>
      <c r="B3" s="4" t="s">
        <v>2</v>
      </c>
      <c r="C3" s="5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5" t="s">
        <v>13</v>
      </c>
    </row>
    <row r="4" spans="1:13" ht="21" x14ac:dyDescent="0.25">
      <c r="A4" s="1"/>
      <c r="B4" s="158" t="s">
        <v>14</v>
      </c>
      <c r="C4" s="7" t="s">
        <v>15</v>
      </c>
      <c r="D4" s="8">
        <v>18</v>
      </c>
      <c r="E4" s="8">
        <v>13</v>
      </c>
      <c r="F4" s="8">
        <v>0</v>
      </c>
      <c r="G4" s="8">
        <v>0</v>
      </c>
      <c r="H4" s="8">
        <v>3</v>
      </c>
      <c r="I4" s="8">
        <v>3</v>
      </c>
      <c r="J4" s="8">
        <v>1</v>
      </c>
      <c r="K4" s="8">
        <v>1</v>
      </c>
      <c r="L4" s="8">
        <v>0</v>
      </c>
      <c r="M4" s="9">
        <f t="shared" ref="M4:M5" si="0">SUM(D4:L4)</f>
        <v>39</v>
      </c>
    </row>
    <row r="5" spans="1:13" ht="21" x14ac:dyDescent="0.25">
      <c r="A5" s="1"/>
      <c r="B5" s="159"/>
      <c r="C5" s="7" t="s">
        <v>16</v>
      </c>
      <c r="D5" s="8">
        <v>7</v>
      </c>
      <c r="E5" s="8">
        <v>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9">
        <f t="shared" si="0"/>
        <v>9</v>
      </c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</sheetData>
  <mergeCells count="2">
    <mergeCell ref="B4:B5"/>
    <mergeCell ref="D2:M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workbookViewId="0"/>
  </sheetViews>
  <sheetFormatPr baseColWidth="10" defaultColWidth="14.42578125" defaultRowHeight="15" customHeight="1" x14ac:dyDescent="0.25"/>
  <cols>
    <col min="1" max="1" width="4" customWidth="1"/>
    <col min="2" max="2" width="11.5703125" customWidth="1"/>
    <col min="3" max="3" width="12.5703125" customWidth="1"/>
    <col min="4" max="13" width="11.5703125" customWidth="1"/>
    <col min="14" max="14" width="16.85546875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.5" customHeight="1" x14ac:dyDescent="0.25">
      <c r="A2" s="1"/>
      <c r="B2" s="10" t="s">
        <v>0</v>
      </c>
      <c r="C2" s="11">
        <f>'EST. FUR'!$C$2</f>
        <v>45453</v>
      </c>
      <c r="D2" s="163" t="s">
        <v>17</v>
      </c>
      <c r="E2" s="164"/>
      <c r="F2" s="164"/>
      <c r="G2" s="164"/>
      <c r="H2" s="164"/>
      <c r="I2" s="164"/>
      <c r="J2" s="164"/>
      <c r="K2" s="164"/>
      <c r="L2" s="164"/>
      <c r="M2" s="165"/>
      <c r="N2" s="1"/>
    </row>
    <row r="3" spans="1:14" ht="39" x14ac:dyDescent="0.25">
      <c r="A3" s="1"/>
      <c r="B3" s="12" t="s">
        <v>18</v>
      </c>
      <c r="C3" s="13" t="s">
        <v>19</v>
      </c>
      <c r="D3" s="13" t="s">
        <v>20</v>
      </c>
      <c r="E3" s="13" t="s">
        <v>21</v>
      </c>
      <c r="F3" s="13" t="s">
        <v>22</v>
      </c>
      <c r="G3" s="13" t="s">
        <v>23</v>
      </c>
      <c r="H3" s="13" t="s">
        <v>24</v>
      </c>
      <c r="I3" s="13" t="s">
        <v>25</v>
      </c>
      <c r="J3" s="13" t="s">
        <v>26</v>
      </c>
      <c r="K3" s="13" t="s">
        <v>27</v>
      </c>
      <c r="L3" s="13" t="s">
        <v>28</v>
      </c>
      <c r="M3" s="14" t="s">
        <v>29</v>
      </c>
      <c r="N3" s="15" t="b">
        <f>IF(M12=M4+M8,TRUE)</f>
        <v>1</v>
      </c>
    </row>
    <row r="4" spans="1:14" x14ac:dyDescent="0.25">
      <c r="A4" s="1"/>
      <c r="B4" s="12" t="s">
        <v>14</v>
      </c>
      <c r="C4" s="16">
        <v>5</v>
      </c>
      <c r="D4" s="16">
        <v>0</v>
      </c>
      <c r="E4" s="16">
        <v>0</v>
      </c>
      <c r="F4" s="16">
        <v>0</v>
      </c>
      <c r="G4" s="16">
        <v>1</v>
      </c>
      <c r="H4" s="16">
        <v>0</v>
      </c>
      <c r="I4" s="16">
        <v>1</v>
      </c>
      <c r="J4" s="16">
        <v>0</v>
      </c>
      <c r="K4" s="16">
        <v>7</v>
      </c>
      <c r="L4" s="16">
        <v>0</v>
      </c>
      <c r="M4" s="17">
        <f>SUM(C4:L4)</f>
        <v>14</v>
      </c>
      <c r="N4" s="1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6.5" customHeight="1" x14ac:dyDescent="0.25">
      <c r="A6" s="1"/>
      <c r="B6" s="10" t="s">
        <v>0</v>
      </c>
      <c r="C6" s="11">
        <f>'EST. FUR'!$C$2</f>
        <v>45453</v>
      </c>
      <c r="D6" s="163" t="s">
        <v>30</v>
      </c>
      <c r="E6" s="164"/>
      <c r="F6" s="164"/>
      <c r="G6" s="164"/>
      <c r="H6" s="164"/>
      <c r="I6" s="164"/>
      <c r="J6" s="164"/>
      <c r="K6" s="164"/>
      <c r="L6" s="164"/>
      <c r="M6" s="165"/>
      <c r="N6" s="1"/>
    </row>
    <row r="7" spans="1:14" ht="39" x14ac:dyDescent="0.25">
      <c r="A7" s="1"/>
      <c r="B7" s="12" t="s">
        <v>18</v>
      </c>
      <c r="C7" s="13" t="s">
        <v>19</v>
      </c>
      <c r="D7" s="13" t="s">
        <v>20</v>
      </c>
      <c r="E7" s="13" t="s">
        <v>21</v>
      </c>
      <c r="F7" s="13" t="s">
        <v>22</v>
      </c>
      <c r="G7" s="13" t="s">
        <v>23</v>
      </c>
      <c r="H7" s="13" t="s">
        <v>24</v>
      </c>
      <c r="I7" s="13" t="s">
        <v>25</v>
      </c>
      <c r="J7" s="13" t="s">
        <v>26</v>
      </c>
      <c r="K7" s="13" t="s">
        <v>27</v>
      </c>
      <c r="L7" s="13" t="s">
        <v>28</v>
      </c>
      <c r="M7" s="14" t="s">
        <v>31</v>
      </c>
      <c r="N7" s="1"/>
    </row>
    <row r="8" spans="1:14" x14ac:dyDescent="0.25">
      <c r="A8" s="1"/>
      <c r="B8" s="12" t="s">
        <v>14</v>
      </c>
      <c r="C8" s="16">
        <v>3</v>
      </c>
      <c r="D8" s="16">
        <v>0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7">
        <f>SUM(C8:L8)</f>
        <v>4</v>
      </c>
      <c r="N8" s="1"/>
    </row>
    <row r="9" spans="1:1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6.5" customHeight="1" x14ac:dyDescent="0.25">
      <c r="A10" s="1"/>
      <c r="B10" s="10" t="s">
        <v>0</v>
      </c>
      <c r="C10" s="11">
        <f>'EST. FUR'!$C$2</f>
        <v>45453</v>
      </c>
      <c r="D10" s="163" t="s">
        <v>32</v>
      </c>
      <c r="E10" s="164"/>
      <c r="F10" s="164"/>
      <c r="G10" s="164"/>
      <c r="H10" s="164"/>
      <c r="I10" s="164"/>
      <c r="J10" s="164"/>
      <c r="K10" s="164"/>
      <c r="L10" s="164"/>
      <c r="M10" s="165"/>
      <c r="N10" s="1"/>
    </row>
    <row r="11" spans="1:14" ht="39" x14ac:dyDescent="0.25">
      <c r="A11" s="1"/>
      <c r="B11" s="12" t="s">
        <v>18</v>
      </c>
      <c r="C11" s="13" t="s">
        <v>19</v>
      </c>
      <c r="D11" s="13" t="s">
        <v>20</v>
      </c>
      <c r="E11" s="13" t="s">
        <v>21</v>
      </c>
      <c r="F11" s="13" t="s">
        <v>22</v>
      </c>
      <c r="G11" s="13" t="s">
        <v>23</v>
      </c>
      <c r="H11" s="13" t="s">
        <v>24</v>
      </c>
      <c r="I11" s="13" t="s">
        <v>25</v>
      </c>
      <c r="J11" s="13" t="s">
        <v>26</v>
      </c>
      <c r="K11" s="13" t="s">
        <v>27</v>
      </c>
      <c r="L11" s="13" t="s">
        <v>28</v>
      </c>
      <c r="M11" s="14" t="s">
        <v>33</v>
      </c>
      <c r="N11" s="1"/>
    </row>
    <row r="12" spans="1:14" x14ac:dyDescent="0.25">
      <c r="A12" s="1"/>
      <c r="B12" s="12" t="s">
        <v>14</v>
      </c>
      <c r="C12" s="16">
        <v>8</v>
      </c>
      <c r="D12" s="16">
        <v>0</v>
      </c>
      <c r="E12" s="16">
        <v>0</v>
      </c>
      <c r="F12" s="16">
        <v>1</v>
      </c>
      <c r="G12" s="16">
        <v>1</v>
      </c>
      <c r="H12" s="16">
        <v>0</v>
      </c>
      <c r="I12" s="16">
        <v>1</v>
      </c>
      <c r="J12" s="16">
        <v>0</v>
      </c>
      <c r="K12" s="16">
        <v>7</v>
      </c>
      <c r="L12" s="16">
        <v>0</v>
      </c>
      <c r="M12" s="17">
        <f>SUM(C12:L12)</f>
        <v>18</v>
      </c>
      <c r="N12" s="1"/>
    </row>
    <row r="13" spans="1:14" x14ac:dyDescent="0.25">
      <c r="A13" s="1"/>
      <c r="B13" s="1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"/>
      <c r="N13" s="1"/>
    </row>
    <row r="14" spans="1:1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</sheetData>
  <mergeCells count="3">
    <mergeCell ref="D2:M2"/>
    <mergeCell ref="D6:M6"/>
    <mergeCell ref="D10:M1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"/>
  <sheetViews>
    <sheetView workbookViewId="0"/>
  </sheetViews>
  <sheetFormatPr baseColWidth="10" defaultColWidth="14.42578125" defaultRowHeight="15" customHeight="1" x14ac:dyDescent="0.25"/>
  <cols>
    <col min="1" max="1" width="5.28515625" customWidth="1"/>
    <col min="2" max="2" width="24.140625" customWidth="1"/>
    <col min="3" max="12" width="11.7109375" customWidth="1"/>
    <col min="13" max="13" width="12.140625" customWidth="1"/>
  </cols>
  <sheetData>
    <row r="1" spans="1:13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18.75" customHeight="1" x14ac:dyDescent="0.25">
      <c r="A2" s="19"/>
      <c r="B2" s="20" t="s">
        <v>0</v>
      </c>
      <c r="C2" s="21">
        <f>'EST. FUR'!C2</f>
        <v>45453</v>
      </c>
      <c r="D2" s="168" t="s">
        <v>34</v>
      </c>
      <c r="E2" s="164"/>
      <c r="F2" s="164"/>
      <c r="G2" s="164"/>
      <c r="H2" s="164"/>
      <c r="I2" s="164"/>
      <c r="J2" s="164"/>
      <c r="K2" s="164"/>
      <c r="L2" s="165"/>
      <c r="M2" s="19"/>
    </row>
    <row r="3" spans="1:13" ht="32.25" customHeight="1" x14ac:dyDescent="0.25">
      <c r="A3" s="19"/>
      <c r="B3" s="167" t="s">
        <v>2</v>
      </c>
      <c r="C3" s="166" t="s">
        <v>35</v>
      </c>
      <c r="D3" s="164"/>
      <c r="E3" s="165"/>
      <c r="F3" s="166" t="s">
        <v>36</v>
      </c>
      <c r="G3" s="164"/>
      <c r="H3" s="164"/>
      <c r="I3" s="165"/>
      <c r="J3" s="166" t="s">
        <v>37</v>
      </c>
      <c r="K3" s="164"/>
      <c r="L3" s="165"/>
      <c r="M3" s="19"/>
    </row>
    <row r="4" spans="1:13" ht="46.5" x14ac:dyDescent="0.25">
      <c r="A4" s="19"/>
      <c r="B4" s="159"/>
      <c r="C4" s="13" t="s">
        <v>38</v>
      </c>
      <c r="D4" s="13" t="s">
        <v>39</v>
      </c>
      <c r="E4" s="22" t="s">
        <v>33</v>
      </c>
      <c r="F4" s="13" t="s">
        <v>40</v>
      </c>
      <c r="G4" s="13" t="s">
        <v>41</v>
      </c>
      <c r="H4" s="13" t="s">
        <v>42</v>
      </c>
      <c r="I4" s="13" t="s">
        <v>43</v>
      </c>
      <c r="J4" s="13" t="s">
        <v>44</v>
      </c>
      <c r="K4" s="13" t="s">
        <v>45</v>
      </c>
      <c r="L4" s="22" t="s">
        <v>33</v>
      </c>
      <c r="M4" s="19"/>
    </row>
    <row r="5" spans="1:13" x14ac:dyDescent="0.25">
      <c r="A5" s="19"/>
      <c r="B5" s="12" t="s">
        <v>14</v>
      </c>
      <c r="C5" s="23">
        <v>34</v>
      </c>
      <c r="D5" s="23">
        <v>22</v>
      </c>
      <c r="E5" s="17">
        <f>C5+D5</f>
        <v>56</v>
      </c>
      <c r="F5" s="23">
        <v>111</v>
      </c>
      <c r="G5" s="23">
        <v>1098</v>
      </c>
      <c r="H5" s="23">
        <v>1380</v>
      </c>
      <c r="I5" s="23">
        <v>18</v>
      </c>
      <c r="J5" s="23">
        <v>11</v>
      </c>
      <c r="K5" s="23">
        <v>45</v>
      </c>
      <c r="L5" s="17">
        <f>J5+K5</f>
        <v>56</v>
      </c>
      <c r="M5" s="24" t="b">
        <f>IF(E5=L5,TRUE)</f>
        <v>1</v>
      </c>
    </row>
    <row r="6" spans="1:13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1:13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3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spans="1:13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</row>
    <row r="10" spans="1:13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1:13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spans="1:13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1:13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3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spans="1:13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13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spans="1:13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</row>
    <row r="18" spans="1:13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spans="1:13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spans="1:13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 spans="1:13" ht="15.75" customHeight="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 spans="1:13" ht="15.75" customHeight="1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spans="1:13" ht="15.75" customHeight="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</row>
    <row r="24" spans="1:13" ht="15.75" customHeight="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</row>
    <row r="25" spans="1:13" ht="15.75" customHeight="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</row>
    <row r="26" spans="1:13" ht="15.75" customHeight="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</row>
    <row r="27" spans="1:13" ht="15.75" customHeight="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  <row r="28" spans="1:13" ht="15.75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</row>
    <row r="29" spans="1:13" ht="15.75" customHeight="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</row>
    <row r="30" spans="1:13" ht="15.75" customHeight="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</row>
    <row r="31" spans="1:13" ht="15.75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</row>
    <row r="32" spans="1:13" ht="15.75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</row>
    <row r="33" spans="1:13" ht="15.75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</row>
    <row r="34" spans="1:13" ht="15.75" customHeight="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</row>
    <row r="35" spans="1:13" ht="15.75" customHeight="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</row>
    <row r="36" spans="1:13" ht="15.75" customHeight="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</row>
    <row r="37" spans="1:13" ht="15.75" customHeight="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</row>
    <row r="38" spans="1:13" ht="15.75" customHeight="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</row>
    <row r="39" spans="1:13" ht="15.75" customHeight="1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</row>
    <row r="40" spans="1:13" ht="15.75" customHeight="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</row>
    <row r="41" spans="1:13" ht="15.75" customHeight="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</row>
    <row r="42" spans="1:13" ht="15.75" customHeight="1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</row>
    <row r="43" spans="1:13" ht="15.75" customHeight="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</row>
    <row r="44" spans="1:13" ht="15.75" customHeight="1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</row>
    <row r="45" spans="1:13" ht="15.75" customHeight="1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</row>
    <row r="46" spans="1:13" ht="15.75" customHeight="1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</row>
    <row r="47" spans="1:13" ht="15.75" customHeight="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</row>
    <row r="48" spans="1:13" ht="15.75" customHeight="1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</row>
    <row r="49" spans="1:13" ht="15.75" customHeight="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</row>
    <row r="50" spans="1:13" ht="15.75" customHeight="1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</row>
    <row r="51" spans="1:13" ht="15.75" customHeight="1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</row>
    <row r="52" spans="1:13" ht="15.75" customHeight="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</row>
    <row r="53" spans="1:13" ht="15.75" customHeight="1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</row>
    <row r="54" spans="1:13" ht="15.75" customHeight="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</row>
    <row r="55" spans="1:13" ht="15.75" customHeight="1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</row>
    <row r="56" spans="1:13" ht="15.75" customHeight="1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</row>
    <row r="57" spans="1:13" ht="15.75" customHeight="1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</row>
    <row r="58" spans="1:13" ht="15.75" customHeight="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</row>
    <row r="59" spans="1:13" ht="15.75" customHeight="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</row>
    <row r="60" spans="1:13" ht="15.75" customHeight="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</row>
    <row r="61" spans="1:13" ht="15.75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</row>
    <row r="62" spans="1:13" ht="15.75" customHeight="1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</row>
    <row r="63" spans="1:13" ht="15.75" customHeight="1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</row>
    <row r="64" spans="1:13" ht="15.75" customHeight="1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</row>
    <row r="65" spans="1:13" ht="15.75" customHeight="1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</row>
    <row r="66" spans="1:13" ht="15.75" customHeight="1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spans="1:13" ht="15.75" customHeight="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</row>
    <row r="68" spans="1:13" ht="15.75" customHeight="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</row>
    <row r="69" spans="1:13" ht="15.75" customHeight="1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</row>
    <row r="70" spans="1:13" ht="15.75" customHeight="1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</row>
    <row r="71" spans="1:13" ht="15.75" customHeight="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</row>
    <row r="72" spans="1:13" ht="15.75" customHeight="1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</row>
    <row r="73" spans="1:13" ht="15.75" customHeight="1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</row>
    <row r="74" spans="1:13" ht="15.75" customHeight="1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</row>
    <row r="75" spans="1:13" ht="15.75" customHeight="1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</row>
    <row r="76" spans="1:13" ht="15.75" customHeight="1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</row>
    <row r="77" spans="1:13" ht="15.75" customHeight="1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</row>
    <row r="78" spans="1:13" ht="15.75" customHeight="1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</row>
    <row r="79" spans="1:13" ht="15.75" customHeight="1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</row>
    <row r="80" spans="1:13" ht="15.75" customHeight="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</row>
    <row r="81" spans="1:13" ht="15.75" customHeight="1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</row>
    <row r="82" spans="1:13" ht="15.75" customHeight="1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</row>
    <row r="83" spans="1:13" ht="15.75" customHeight="1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</row>
    <row r="84" spans="1:13" ht="15.75" customHeight="1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</row>
    <row r="85" spans="1:13" ht="15.75" customHeight="1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</row>
    <row r="86" spans="1:13" ht="15.75" customHeight="1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</row>
    <row r="87" spans="1:13" ht="15.75" customHeight="1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</row>
    <row r="88" spans="1:13" ht="15.75" customHeight="1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</row>
    <row r="89" spans="1:13" ht="15.75" customHeight="1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</row>
    <row r="90" spans="1:13" ht="15.75" customHeight="1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</row>
    <row r="91" spans="1:13" ht="15.75" customHeight="1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</row>
    <row r="92" spans="1:13" ht="15.75" customHeight="1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</row>
    <row r="93" spans="1:13" ht="15.75" customHeight="1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</row>
    <row r="94" spans="1:13" ht="15.75" customHeight="1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</row>
    <row r="95" spans="1:13" ht="15.75" customHeight="1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</row>
    <row r="96" spans="1:13" ht="15.75" customHeight="1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</row>
    <row r="97" spans="1:13" ht="15.75" customHeight="1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</row>
    <row r="98" spans="1:13" ht="15.75" customHeight="1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</row>
    <row r="99" spans="1:13" ht="15.75" customHeight="1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</row>
    <row r="100" spans="1:13" ht="15.75" customHeight="1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</row>
  </sheetData>
  <mergeCells count="5">
    <mergeCell ref="J3:L3"/>
    <mergeCell ref="C3:E3"/>
    <mergeCell ref="F3:I3"/>
    <mergeCell ref="B3:B4"/>
    <mergeCell ref="D2:L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10" defaultColWidth="14.42578125" defaultRowHeight="15" customHeight="1" x14ac:dyDescent="0.25"/>
  <cols>
    <col min="1" max="1" width="4.5703125" customWidth="1"/>
    <col min="2" max="2" width="17.42578125" customWidth="1"/>
    <col min="3" max="3" width="37" customWidth="1"/>
    <col min="4" max="7" width="5.5703125" customWidth="1"/>
    <col min="8" max="8" width="11.5703125" customWidth="1"/>
    <col min="9" max="12" width="5.5703125" customWidth="1"/>
    <col min="13" max="13" width="11.28515625" customWidth="1"/>
    <col min="14" max="16" width="5.5703125" customWidth="1"/>
    <col min="17" max="17" width="11.28515625" customWidth="1"/>
    <col min="18" max="18" width="6.7109375" customWidth="1"/>
    <col min="19" max="22" width="5.5703125" customWidth="1"/>
  </cols>
  <sheetData>
    <row r="1" spans="1:22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6"/>
      <c r="L1" s="26"/>
      <c r="M1" s="26"/>
      <c r="N1" s="26"/>
      <c r="O1" s="25"/>
      <c r="P1" s="25"/>
      <c r="Q1" s="25"/>
      <c r="R1" s="25"/>
      <c r="S1" s="25"/>
      <c r="T1" s="25"/>
      <c r="U1" s="25"/>
      <c r="V1" s="25"/>
    </row>
    <row r="2" spans="1:22" ht="25.5" customHeight="1" x14ac:dyDescent="0.25">
      <c r="A2" s="169"/>
      <c r="B2" s="172" t="s">
        <v>46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5"/>
      <c r="T2" s="171" t="s">
        <v>47</v>
      </c>
      <c r="U2" s="164"/>
      <c r="V2" s="165"/>
    </row>
    <row r="3" spans="1:22" ht="123" customHeight="1" x14ac:dyDescent="0.25">
      <c r="A3" s="170"/>
      <c r="B3" s="27" t="s">
        <v>48</v>
      </c>
      <c r="C3" s="27" t="s">
        <v>2</v>
      </c>
      <c r="D3" s="28" t="s">
        <v>49</v>
      </c>
      <c r="E3" s="28" t="s">
        <v>50</v>
      </c>
      <c r="F3" s="28" t="s">
        <v>51</v>
      </c>
      <c r="G3" s="28" t="s">
        <v>52</v>
      </c>
      <c r="H3" s="28" t="s">
        <v>53</v>
      </c>
      <c r="I3" s="28" t="s">
        <v>54</v>
      </c>
      <c r="J3" s="28" t="s">
        <v>55</v>
      </c>
      <c r="K3" s="28" t="s">
        <v>56</v>
      </c>
      <c r="L3" s="28" t="s">
        <v>57</v>
      </c>
      <c r="M3" s="28" t="s">
        <v>58</v>
      </c>
      <c r="N3" s="28" t="s">
        <v>59</v>
      </c>
      <c r="O3" s="28" t="s">
        <v>60</v>
      </c>
      <c r="P3" s="28" t="s">
        <v>61</v>
      </c>
      <c r="Q3" s="29" t="s">
        <v>62</v>
      </c>
      <c r="R3" s="30" t="s">
        <v>63</v>
      </c>
      <c r="S3" s="28" t="s">
        <v>64</v>
      </c>
      <c r="T3" s="28" t="s">
        <v>65</v>
      </c>
      <c r="U3" s="28" t="s">
        <v>66</v>
      </c>
      <c r="V3" s="28" t="s">
        <v>67</v>
      </c>
    </row>
    <row r="4" spans="1:22" ht="30" customHeight="1" x14ac:dyDescent="0.25">
      <c r="A4" s="31"/>
      <c r="B4" s="32" t="s">
        <v>68</v>
      </c>
      <c r="C4" s="33" t="s">
        <v>14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</row>
    <row r="5" spans="1:22" ht="18.75" customHeight="1" x14ac:dyDescent="0.25">
      <c r="A5" s="35"/>
      <c r="B5" s="36" t="b">
        <f>IF(D4=OPERATIVOS!E6,TRUE)</f>
        <v>1</v>
      </c>
      <c r="C5" s="173" t="s">
        <v>33</v>
      </c>
      <c r="D5" s="16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 t="b">
        <f>IF(Q4=OPERATIVOS!J6,TRUE)</f>
        <v>1</v>
      </c>
      <c r="R5" s="25"/>
      <c r="S5" s="25"/>
      <c r="T5" s="25"/>
      <c r="U5" s="25"/>
      <c r="V5" s="25"/>
    </row>
    <row r="6" spans="1:22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</row>
    <row r="7" spans="1:22" ht="30.75" customHeight="1" x14ac:dyDescent="0.25">
      <c r="A7" s="37"/>
      <c r="B7" s="32" t="s">
        <v>51</v>
      </c>
      <c r="C7" s="32" t="s">
        <v>69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</row>
    <row r="8" spans="1:22" ht="30.75" customHeight="1" x14ac:dyDescent="0.25">
      <c r="A8" s="37"/>
      <c r="B8" s="32" t="s">
        <v>70</v>
      </c>
      <c r="C8" s="38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</row>
    <row r="9" spans="1:22" ht="30.75" customHeight="1" x14ac:dyDescent="0.25">
      <c r="A9" s="37"/>
      <c r="B9" s="32" t="s">
        <v>71</v>
      </c>
      <c r="C9" s="38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</row>
    <row r="10" spans="1:22" ht="30.75" customHeight="1" x14ac:dyDescent="0.25">
      <c r="A10" s="37"/>
      <c r="B10" s="32" t="s">
        <v>72</v>
      </c>
      <c r="C10" s="38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</row>
    <row r="11" spans="1:22" ht="30.75" customHeight="1" x14ac:dyDescent="0.25">
      <c r="A11" s="37"/>
      <c r="B11" s="32" t="s">
        <v>73</v>
      </c>
      <c r="C11" s="38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</row>
    <row r="12" spans="1:22" ht="30.75" customHeight="1" x14ac:dyDescent="0.25">
      <c r="A12" s="37"/>
      <c r="B12" s="32" t="s">
        <v>74</v>
      </c>
      <c r="C12" s="38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</row>
    <row r="13" spans="1:22" ht="30.75" customHeight="1" x14ac:dyDescent="0.25">
      <c r="A13" s="37"/>
      <c r="B13" s="32" t="s">
        <v>75</v>
      </c>
      <c r="C13" s="38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</row>
    <row r="14" spans="1:22" ht="30.75" customHeight="1" x14ac:dyDescent="0.25">
      <c r="A14" s="37"/>
      <c r="B14" s="32" t="s">
        <v>76</v>
      </c>
      <c r="C14" s="38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</row>
    <row r="15" spans="1:22" ht="30.75" customHeight="1" x14ac:dyDescent="0.25">
      <c r="A15" s="37"/>
      <c r="B15" s="32" t="s">
        <v>77</v>
      </c>
      <c r="C15" s="38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</row>
    <row r="16" spans="1:22" ht="30.75" customHeight="1" x14ac:dyDescent="0.25">
      <c r="A16" s="37"/>
      <c r="B16" s="32" t="s">
        <v>78</v>
      </c>
      <c r="C16" s="38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</row>
    <row r="17" spans="1:22" ht="30.75" customHeight="1" x14ac:dyDescent="0.25">
      <c r="A17" s="37"/>
      <c r="B17" s="32" t="s">
        <v>79</v>
      </c>
      <c r="C17" s="38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</row>
    <row r="18" spans="1:22" ht="30.75" customHeight="1" x14ac:dyDescent="0.25">
      <c r="A18" s="37"/>
      <c r="B18" s="32" t="s">
        <v>80</v>
      </c>
      <c r="C18" s="38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</row>
    <row r="19" spans="1:22" ht="30.75" customHeight="1" x14ac:dyDescent="0.25">
      <c r="A19" s="37"/>
      <c r="B19" s="32" t="s">
        <v>81</v>
      </c>
      <c r="C19" s="38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</row>
    <row r="20" spans="1:22" ht="30.75" customHeight="1" x14ac:dyDescent="0.25">
      <c r="A20" s="37"/>
      <c r="B20" s="32" t="s">
        <v>55</v>
      </c>
      <c r="C20" s="32" t="s">
        <v>69</v>
      </c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</row>
    <row r="21" spans="1:22" ht="30.75" customHeight="1" x14ac:dyDescent="0.25">
      <c r="A21" s="37"/>
      <c r="B21" s="32" t="s">
        <v>82</v>
      </c>
      <c r="C21" s="38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</row>
    <row r="22" spans="1:22" ht="30.75" customHeight="1" x14ac:dyDescent="0.25">
      <c r="A22" s="37"/>
      <c r="B22" s="32" t="s">
        <v>83</v>
      </c>
      <c r="C22" s="38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</row>
    <row r="23" spans="1:22" ht="30.75" customHeight="1" x14ac:dyDescent="0.25">
      <c r="A23" s="37"/>
      <c r="B23" s="32" t="s">
        <v>84</v>
      </c>
      <c r="C23" s="38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</row>
    <row r="24" spans="1:22" ht="30.75" customHeight="1" x14ac:dyDescent="0.25">
      <c r="A24" s="37"/>
      <c r="B24" s="32" t="s">
        <v>85</v>
      </c>
      <c r="C24" s="38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</row>
    <row r="25" spans="1:22" ht="30.75" customHeight="1" x14ac:dyDescent="0.25">
      <c r="A25" s="37"/>
      <c r="B25" s="32" t="s">
        <v>86</v>
      </c>
      <c r="C25" s="38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</row>
    <row r="26" spans="1:22" ht="30.75" customHeight="1" x14ac:dyDescent="0.25">
      <c r="A26" s="37"/>
      <c r="B26" s="32" t="s">
        <v>87</v>
      </c>
      <c r="C26" s="38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</row>
    <row r="27" spans="1:22" ht="30.75" customHeight="1" x14ac:dyDescent="0.25">
      <c r="A27" s="37"/>
      <c r="B27" s="32" t="s">
        <v>88</v>
      </c>
      <c r="C27" s="38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</row>
    <row r="28" spans="1:22" ht="30.75" customHeight="1" x14ac:dyDescent="0.25">
      <c r="A28" s="37"/>
      <c r="B28" s="32" t="s">
        <v>89</v>
      </c>
      <c r="C28" s="38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</row>
    <row r="29" spans="1:22" ht="30.75" customHeight="1" x14ac:dyDescent="0.25">
      <c r="A29" s="37"/>
      <c r="B29" s="32" t="s">
        <v>90</v>
      </c>
      <c r="C29" s="38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</row>
    <row r="30" spans="1:22" ht="30.75" customHeight="1" x14ac:dyDescent="0.25">
      <c r="A30" s="37"/>
      <c r="B30" s="32" t="s">
        <v>91</v>
      </c>
      <c r="C30" s="38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</row>
    <row r="31" spans="1:22" ht="30.75" customHeight="1" x14ac:dyDescent="0.25">
      <c r="A31" s="37"/>
      <c r="B31" s="32" t="s">
        <v>92</v>
      </c>
      <c r="C31" s="38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</row>
    <row r="32" spans="1:22" ht="30.75" customHeight="1" x14ac:dyDescent="0.25">
      <c r="A32" s="37"/>
      <c r="B32" s="32" t="s">
        <v>91</v>
      </c>
      <c r="C32" s="38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</row>
    <row r="33" spans="1:22" ht="15.75" customHeight="1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spans="1:22" ht="15.75" customHeight="1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spans="1:22" ht="15.75" customHeight="1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</row>
    <row r="36" spans="1:22" ht="15.75" customHeight="1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</row>
    <row r="37" spans="1:22" ht="15.75" customHeight="1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</row>
    <row r="38" spans="1:22" ht="15.75" customHeight="1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</row>
    <row r="39" spans="1:22" ht="15.75" customHeight="1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</row>
    <row r="40" spans="1:22" ht="15.75" customHeight="1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</row>
    <row r="41" spans="1:22" ht="15.75" customHeight="1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 spans="1:22" ht="15.75" customHeight="1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</row>
    <row r="43" spans="1:22" ht="15.75" customHeight="1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 spans="1:22" ht="15.75" customHeight="1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</row>
    <row r="45" spans="1:22" ht="15.75" customHeight="1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</row>
    <row r="46" spans="1:22" ht="15.75" customHeight="1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</row>
    <row r="47" spans="1:22" ht="15.75" customHeight="1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</row>
    <row r="48" spans="1:22" ht="15.75" customHeight="1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</row>
    <row r="49" spans="1:22" ht="15.75" customHeight="1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</row>
    <row r="50" spans="1:22" ht="15.75" customHeight="1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</row>
    <row r="51" spans="1:22" ht="15.75" customHeight="1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</row>
    <row r="52" spans="1:22" ht="15.75" customHeight="1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</row>
    <row r="53" spans="1:22" ht="15.75" customHeight="1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</row>
    <row r="54" spans="1:22" ht="15.75" customHeight="1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</row>
    <row r="55" spans="1:22" ht="15.75" customHeight="1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</row>
    <row r="56" spans="1:22" ht="15.75" customHeight="1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</row>
    <row r="57" spans="1:22" ht="15.75" customHeight="1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</row>
    <row r="58" spans="1:22" ht="15.75" customHeight="1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</row>
    <row r="59" spans="1:22" ht="15.75" customHeight="1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</row>
    <row r="60" spans="1:22" ht="15.75" customHeight="1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</row>
    <row r="61" spans="1:22" ht="15.75" customHeight="1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</row>
    <row r="62" spans="1:22" ht="15.75" customHeight="1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</row>
    <row r="63" spans="1:22" ht="15.75" customHeight="1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</row>
    <row r="64" spans="1:22" ht="15.75" customHeight="1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</row>
    <row r="65" spans="1:22" ht="15.75" customHeight="1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</row>
    <row r="66" spans="1:22" ht="15.75" customHeight="1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</row>
    <row r="67" spans="1:22" ht="15.75" customHeight="1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</row>
    <row r="68" spans="1:22" ht="15.75" customHeight="1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</row>
    <row r="69" spans="1:22" ht="15.75" customHeight="1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</row>
    <row r="70" spans="1:22" ht="15.75" customHeight="1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</row>
    <row r="71" spans="1:22" ht="15.75" customHeight="1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</row>
    <row r="72" spans="1:22" ht="15.75" customHeight="1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</row>
    <row r="73" spans="1:22" ht="15.75" customHeight="1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</row>
    <row r="74" spans="1:22" ht="15.75" customHeight="1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</row>
    <row r="75" spans="1:22" ht="15.75" customHeight="1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</row>
    <row r="76" spans="1:22" ht="15.75" customHeight="1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</row>
    <row r="77" spans="1:22" ht="15.75" customHeight="1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</row>
    <row r="78" spans="1:22" ht="15.75" customHeight="1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</row>
    <row r="79" spans="1:22" ht="15.75" customHeight="1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</row>
    <row r="80" spans="1:22" ht="15.75" customHeight="1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</row>
    <row r="81" spans="1:22" ht="15.75" customHeight="1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</row>
    <row r="82" spans="1:22" ht="15.75" customHeight="1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</row>
    <row r="83" spans="1:22" ht="15.75" customHeight="1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</row>
    <row r="84" spans="1:22" ht="15.75" customHeight="1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</row>
    <row r="85" spans="1:22" ht="15.75" customHeight="1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</row>
    <row r="86" spans="1:22" ht="15.75" customHeight="1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</row>
    <row r="87" spans="1:22" ht="15.75" customHeight="1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</row>
    <row r="88" spans="1:22" ht="15.75" customHeight="1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</row>
    <row r="89" spans="1:22" ht="15.75" customHeight="1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</row>
    <row r="90" spans="1:22" ht="15.75" customHeight="1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</row>
    <row r="91" spans="1:22" ht="15.75" customHeight="1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</row>
    <row r="92" spans="1:22" ht="15.75" customHeight="1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</row>
    <row r="93" spans="1:22" ht="15.75" customHeight="1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</row>
    <row r="94" spans="1:22" ht="15.75" customHeight="1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</row>
    <row r="95" spans="1:22" ht="15.75" customHeight="1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</row>
    <row r="96" spans="1:22" ht="15.75" customHeight="1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</row>
    <row r="97" spans="1:22" ht="15.75" customHeight="1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</row>
    <row r="98" spans="1:22" ht="15.75" customHeight="1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</row>
    <row r="99" spans="1:22" ht="15.75" customHeight="1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</row>
    <row r="100" spans="1:22" ht="15.75" customHeight="1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</row>
  </sheetData>
  <mergeCells count="4">
    <mergeCell ref="A2:A3"/>
    <mergeCell ref="T2:V2"/>
    <mergeCell ref="B2:S2"/>
    <mergeCell ref="C5:D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"/>
  <sheetViews>
    <sheetView workbookViewId="0"/>
  </sheetViews>
  <sheetFormatPr baseColWidth="10" defaultColWidth="14.42578125" defaultRowHeight="15" customHeight="1" x14ac:dyDescent="0.25"/>
  <cols>
    <col min="1" max="1" width="4" customWidth="1"/>
    <col min="2" max="2" width="25.85546875" customWidth="1"/>
    <col min="3" max="3" width="29.5703125" customWidth="1"/>
    <col min="4" max="4" width="55.140625" customWidth="1"/>
    <col min="5" max="9" width="8.42578125" customWidth="1"/>
    <col min="10" max="10" width="9.85546875" customWidth="1"/>
    <col min="11" max="11" width="5.42578125" customWidth="1"/>
    <col min="12" max="13" width="9.42578125" customWidth="1"/>
    <col min="14" max="14" width="8.28515625" customWidth="1"/>
    <col min="15" max="16" width="5.85546875" customWidth="1"/>
    <col min="17" max="25" width="11.42578125" customWidth="1"/>
  </cols>
  <sheetData>
    <row r="1" spans="1:25" x14ac:dyDescent="0.25">
      <c r="A1" s="1"/>
      <c r="B1" s="39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/>
      <c r="B2" s="174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6"/>
      <c r="R2" s="1"/>
      <c r="S2" s="1"/>
      <c r="T2" s="1"/>
      <c r="U2" s="1"/>
      <c r="V2" s="1"/>
      <c r="W2" s="1"/>
      <c r="X2" s="1"/>
      <c r="Y2" s="1"/>
    </row>
    <row r="3" spans="1:25" ht="72.75" x14ac:dyDescent="0.25">
      <c r="A3" s="1"/>
      <c r="B3" s="181" t="s">
        <v>93</v>
      </c>
      <c r="C3" s="165"/>
      <c r="D3" s="40">
        <f>'EST. FUR'!C2</f>
        <v>45453</v>
      </c>
      <c r="E3" s="177" t="s">
        <v>94</v>
      </c>
      <c r="F3" s="164"/>
      <c r="G3" s="164"/>
      <c r="H3" s="164"/>
      <c r="I3" s="164"/>
      <c r="J3" s="165"/>
      <c r="K3" s="178" t="s">
        <v>95</v>
      </c>
      <c r="L3" s="165"/>
      <c r="M3" s="41" t="s">
        <v>63</v>
      </c>
      <c r="N3" s="41" t="s">
        <v>64</v>
      </c>
      <c r="O3" s="179" t="s">
        <v>47</v>
      </c>
      <c r="P3" s="164"/>
      <c r="Q3" s="180"/>
      <c r="R3" s="1"/>
      <c r="S3" s="1"/>
      <c r="T3" s="1"/>
      <c r="U3" s="1"/>
      <c r="V3" s="1"/>
      <c r="W3" s="1"/>
      <c r="X3" s="1"/>
      <c r="Y3" s="1"/>
    </row>
    <row r="4" spans="1:25" ht="132.75" x14ac:dyDescent="0.25">
      <c r="A4" s="1"/>
      <c r="B4" s="42" t="s">
        <v>2</v>
      </c>
      <c r="C4" s="43" t="s">
        <v>96</v>
      </c>
      <c r="D4" s="43" t="s">
        <v>15</v>
      </c>
      <c r="E4" s="41" t="s">
        <v>97</v>
      </c>
      <c r="F4" s="41" t="s">
        <v>98</v>
      </c>
      <c r="G4" s="41" t="s">
        <v>99</v>
      </c>
      <c r="H4" s="41" t="s">
        <v>100</v>
      </c>
      <c r="I4" s="41" t="s">
        <v>101</v>
      </c>
      <c r="J4" s="41" t="s">
        <v>102</v>
      </c>
      <c r="K4" s="41" t="s">
        <v>103</v>
      </c>
      <c r="L4" s="41" t="s">
        <v>104</v>
      </c>
      <c r="M4" s="41"/>
      <c r="N4" s="41"/>
      <c r="O4" s="41" t="s">
        <v>65</v>
      </c>
      <c r="P4" s="41" t="s">
        <v>66</v>
      </c>
      <c r="Q4" s="44" t="s">
        <v>67</v>
      </c>
      <c r="R4" s="1"/>
      <c r="S4" s="1"/>
      <c r="T4" s="1"/>
      <c r="U4" s="1"/>
      <c r="V4" s="1"/>
      <c r="W4" s="1"/>
      <c r="X4" s="1"/>
      <c r="Y4" s="1"/>
    </row>
    <row r="5" spans="1:25" x14ac:dyDescent="0.25">
      <c r="A5" s="1"/>
      <c r="B5" s="45" t="s">
        <v>14</v>
      </c>
      <c r="C5" s="46"/>
      <c r="D5" s="47" t="s">
        <v>105</v>
      </c>
      <c r="E5" s="48"/>
      <c r="F5" s="48"/>
      <c r="G5" s="48"/>
      <c r="H5" s="48"/>
      <c r="I5" s="48"/>
      <c r="J5" s="48">
        <f t="shared" ref="J5:J14" si="0">I5+H5+G5</f>
        <v>0</v>
      </c>
      <c r="K5" s="48"/>
      <c r="L5" s="48"/>
      <c r="M5" s="48"/>
      <c r="N5" s="48"/>
      <c r="O5" s="48"/>
      <c r="P5" s="48"/>
      <c r="Q5" s="49"/>
      <c r="R5" s="1"/>
      <c r="S5" s="1"/>
      <c r="T5" s="1"/>
      <c r="U5" s="1"/>
      <c r="V5" s="1"/>
      <c r="W5" s="1"/>
      <c r="X5" s="1"/>
      <c r="Y5" s="1"/>
    </row>
    <row r="6" spans="1:25" x14ac:dyDescent="0.25">
      <c r="A6" s="1"/>
      <c r="B6" s="45" t="s">
        <v>14</v>
      </c>
      <c r="C6" s="46"/>
      <c r="D6" s="50" t="s">
        <v>106</v>
      </c>
      <c r="E6" s="48"/>
      <c r="F6" s="48"/>
      <c r="G6" s="48"/>
      <c r="H6" s="48"/>
      <c r="I6" s="48"/>
      <c r="J6" s="48">
        <f t="shared" si="0"/>
        <v>0</v>
      </c>
      <c r="K6" s="48"/>
      <c r="L6" s="48"/>
      <c r="M6" s="48"/>
      <c r="N6" s="48"/>
      <c r="O6" s="48"/>
      <c r="P6" s="48"/>
      <c r="Q6" s="49"/>
      <c r="R6" s="1"/>
      <c r="S6" s="1"/>
      <c r="T6" s="1"/>
      <c r="U6" s="1"/>
      <c r="V6" s="1"/>
      <c r="W6" s="1"/>
      <c r="X6" s="1"/>
      <c r="Y6" s="1"/>
    </row>
    <row r="7" spans="1:25" x14ac:dyDescent="0.25">
      <c r="A7" s="1"/>
      <c r="B7" s="45" t="s">
        <v>14</v>
      </c>
      <c r="C7" s="46"/>
      <c r="D7" s="50" t="s">
        <v>107</v>
      </c>
      <c r="E7" s="48"/>
      <c r="F7" s="48"/>
      <c r="G7" s="48"/>
      <c r="H7" s="48"/>
      <c r="I7" s="48"/>
      <c r="J7" s="48">
        <f t="shared" si="0"/>
        <v>0</v>
      </c>
      <c r="K7" s="48"/>
      <c r="L7" s="48"/>
      <c r="M7" s="48"/>
      <c r="N7" s="48"/>
      <c r="O7" s="48"/>
      <c r="P7" s="48"/>
      <c r="Q7" s="49"/>
      <c r="R7" s="1"/>
      <c r="S7" s="1"/>
      <c r="T7" s="1"/>
      <c r="U7" s="1"/>
      <c r="V7" s="1"/>
      <c r="W7" s="1"/>
      <c r="X7" s="1"/>
      <c r="Y7" s="1"/>
    </row>
    <row r="8" spans="1:25" x14ac:dyDescent="0.25">
      <c r="A8" s="1"/>
      <c r="B8" s="45" t="s">
        <v>14</v>
      </c>
      <c r="C8" s="51"/>
      <c r="D8" s="50" t="s">
        <v>108</v>
      </c>
      <c r="E8" s="48"/>
      <c r="F8" s="48"/>
      <c r="G8" s="48"/>
      <c r="H8" s="48"/>
      <c r="I8" s="48"/>
      <c r="J8" s="48">
        <f t="shared" si="0"/>
        <v>0</v>
      </c>
      <c r="K8" s="48"/>
      <c r="L8" s="48"/>
      <c r="M8" s="48"/>
      <c r="N8" s="48"/>
      <c r="O8" s="48"/>
      <c r="P8" s="48"/>
      <c r="Q8" s="49"/>
      <c r="R8" s="1"/>
      <c r="S8" s="1"/>
      <c r="T8" s="1"/>
      <c r="U8" s="1"/>
      <c r="V8" s="1"/>
      <c r="W8" s="1"/>
      <c r="X8" s="1"/>
      <c r="Y8" s="1"/>
    </row>
    <row r="9" spans="1:25" x14ac:dyDescent="0.25">
      <c r="A9" s="1"/>
      <c r="B9" s="45" t="s">
        <v>14</v>
      </c>
      <c r="C9" s="51"/>
      <c r="D9" s="50" t="s">
        <v>109</v>
      </c>
      <c r="E9" s="48"/>
      <c r="F9" s="48"/>
      <c r="G9" s="48"/>
      <c r="H9" s="48"/>
      <c r="I9" s="48"/>
      <c r="J9" s="48">
        <f t="shared" si="0"/>
        <v>0</v>
      </c>
      <c r="K9" s="48"/>
      <c r="L9" s="48"/>
      <c r="M9" s="48"/>
      <c r="N9" s="48"/>
      <c r="O9" s="48"/>
      <c r="P9" s="48"/>
      <c r="Q9" s="49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1"/>
      <c r="B10" s="45" t="s">
        <v>14</v>
      </c>
      <c r="C10" s="51"/>
      <c r="D10" s="50" t="s">
        <v>110</v>
      </c>
      <c r="E10" s="48"/>
      <c r="F10" s="48"/>
      <c r="G10" s="48"/>
      <c r="H10" s="48"/>
      <c r="I10" s="48"/>
      <c r="J10" s="48">
        <f t="shared" si="0"/>
        <v>0</v>
      </c>
      <c r="K10" s="48"/>
      <c r="L10" s="48"/>
      <c r="M10" s="48"/>
      <c r="N10" s="48"/>
      <c r="O10" s="48"/>
      <c r="P10" s="48"/>
      <c r="Q10" s="49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1"/>
      <c r="B11" s="45" t="s">
        <v>14</v>
      </c>
      <c r="C11" s="51"/>
      <c r="D11" s="50" t="s">
        <v>111</v>
      </c>
      <c r="E11" s="48"/>
      <c r="F11" s="48"/>
      <c r="G11" s="48"/>
      <c r="H11" s="48"/>
      <c r="I11" s="48"/>
      <c r="J11" s="48">
        <f t="shared" si="0"/>
        <v>0</v>
      </c>
      <c r="K11" s="48"/>
      <c r="L11" s="48"/>
      <c r="M11" s="48"/>
      <c r="N11" s="48"/>
      <c r="O11" s="48"/>
      <c r="P11" s="48"/>
      <c r="Q11" s="49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1"/>
      <c r="B12" s="45" t="s">
        <v>14</v>
      </c>
      <c r="C12" s="51"/>
      <c r="D12" s="50" t="s">
        <v>112</v>
      </c>
      <c r="E12" s="48"/>
      <c r="F12" s="48"/>
      <c r="G12" s="48"/>
      <c r="H12" s="48"/>
      <c r="I12" s="48"/>
      <c r="J12" s="48">
        <f t="shared" si="0"/>
        <v>0</v>
      </c>
      <c r="K12" s="48"/>
      <c r="L12" s="48"/>
      <c r="M12" s="48"/>
      <c r="N12" s="48"/>
      <c r="O12" s="48"/>
      <c r="P12" s="48"/>
      <c r="Q12" s="49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1"/>
      <c r="B13" s="45" t="s">
        <v>14</v>
      </c>
      <c r="C13" s="51"/>
      <c r="D13" s="50" t="s">
        <v>113</v>
      </c>
      <c r="E13" s="48"/>
      <c r="F13" s="48"/>
      <c r="G13" s="48"/>
      <c r="H13" s="48"/>
      <c r="I13" s="48"/>
      <c r="J13" s="48">
        <f t="shared" si="0"/>
        <v>0</v>
      </c>
      <c r="K13" s="48"/>
      <c r="L13" s="48"/>
      <c r="M13" s="48"/>
      <c r="N13" s="48"/>
      <c r="O13" s="48"/>
      <c r="P13" s="48"/>
      <c r="Q13" s="49"/>
      <c r="R13" s="1"/>
      <c r="S13" s="1"/>
      <c r="T13" s="1"/>
      <c r="U13" s="1"/>
      <c r="V13" s="1"/>
      <c r="W13" s="1"/>
      <c r="X13" s="1"/>
      <c r="Y13" s="1"/>
    </row>
    <row r="14" spans="1:25" ht="30" x14ac:dyDescent="0.25">
      <c r="A14" s="1"/>
      <c r="B14" s="45" t="s">
        <v>14</v>
      </c>
      <c r="C14" s="52"/>
      <c r="D14" s="53" t="s">
        <v>114</v>
      </c>
      <c r="E14" s="54"/>
      <c r="F14" s="54"/>
      <c r="G14" s="54"/>
      <c r="H14" s="54"/>
      <c r="I14" s="54"/>
      <c r="J14" s="48">
        <f t="shared" si="0"/>
        <v>0</v>
      </c>
      <c r="K14" s="54"/>
      <c r="L14" s="54"/>
      <c r="M14" s="54"/>
      <c r="N14" s="54"/>
      <c r="O14" s="54"/>
      <c r="P14" s="54"/>
      <c r="Q14" s="55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s="1"/>
      <c r="B15" s="39"/>
      <c r="C15" s="56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A16" s="1"/>
      <c r="B16" s="39"/>
      <c r="C16" s="5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s="1"/>
      <c r="B17" s="39"/>
      <c r="C17" s="5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s="1"/>
      <c r="B18" s="39"/>
      <c r="C18" s="5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A19" s="1"/>
      <c r="B19" s="39"/>
      <c r="C19" s="5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5">
      <c r="A20" s="1"/>
      <c r="B20" s="39"/>
      <c r="C20" s="56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5">
      <c r="A21" s="1"/>
      <c r="B21" s="39"/>
      <c r="C21" s="5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25">
      <c r="A22" s="1"/>
      <c r="B22" s="39"/>
      <c r="C22" s="5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25">
      <c r="A23" s="1"/>
      <c r="B23" s="39"/>
      <c r="C23" s="5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25">
      <c r="A24" s="1"/>
      <c r="B24" s="39"/>
      <c r="C24" s="5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5">
      <c r="A25" s="1"/>
      <c r="B25" s="39"/>
      <c r="C25" s="5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5">
      <c r="A26" s="1"/>
      <c r="B26" s="39"/>
      <c r="C26" s="5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5">
      <c r="A27" s="1"/>
      <c r="B27" s="39"/>
      <c r="C27" s="5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5">
      <c r="A28" s="1"/>
      <c r="B28" s="39"/>
      <c r="C28" s="5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5">
      <c r="A29" s="1"/>
      <c r="B29" s="39"/>
      <c r="C29" s="5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5">
      <c r="A30" s="1"/>
      <c r="B30" s="39"/>
      <c r="C30" s="5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1"/>
      <c r="B31" s="39"/>
      <c r="C31" s="5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1"/>
      <c r="B32" s="39"/>
      <c r="C32" s="5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5">
      <c r="A33" s="1"/>
      <c r="B33" s="39"/>
      <c r="C33" s="5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5">
      <c r="A34" s="1"/>
      <c r="B34" s="39"/>
      <c r="C34" s="5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5">
      <c r="A35" s="1"/>
      <c r="B35" s="39"/>
      <c r="C35" s="5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5">
      <c r="A36" s="1"/>
      <c r="B36" s="39"/>
      <c r="C36" s="5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1"/>
      <c r="B37" s="39"/>
      <c r="C37" s="5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5">
      <c r="A38" s="1"/>
      <c r="B38" s="39"/>
      <c r="C38" s="5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5">
      <c r="A39" s="1"/>
      <c r="B39" s="39"/>
      <c r="C39" s="5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5">
      <c r="A40" s="1"/>
      <c r="B40" s="39"/>
      <c r="C40" s="5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5">
      <c r="A41" s="1"/>
      <c r="B41" s="39"/>
      <c r="C41" s="5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1"/>
      <c r="B42" s="39"/>
      <c r="C42" s="5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1"/>
      <c r="B43" s="39"/>
      <c r="C43" s="5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1"/>
      <c r="B44" s="39"/>
      <c r="C44" s="5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1"/>
      <c r="B45" s="39"/>
      <c r="C45" s="5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1"/>
      <c r="B46" s="39"/>
      <c r="C46" s="5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"/>
      <c r="B47" s="39"/>
      <c r="C47" s="5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1"/>
      <c r="B48" s="39"/>
      <c r="C48" s="5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5">
      <c r="A49" s="1"/>
      <c r="B49" s="39"/>
      <c r="C49" s="5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1"/>
      <c r="B50" s="39"/>
      <c r="C50" s="5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1"/>
      <c r="B51" s="39"/>
      <c r="C51" s="5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1"/>
      <c r="B52" s="39"/>
      <c r="C52" s="5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1"/>
      <c r="B53" s="39"/>
      <c r="C53" s="5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1"/>
      <c r="B54" s="39"/>
      <c r="C54" s="5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1"/>
      <c r="B55" s="39"/>
      <c r="C55" s="5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1"/>
      <c r="B56" s="39"/>
      <c r="C56" s="5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1"/>
      <c r="B57" s="39"/>
      <c r="C57" s="5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1"/>
      <c r="B58" s="39"/>
      <c r="C58" s="5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1"/>
      <c r="B59" s="39"/>
      <c r="C59" s="5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5">
      <c r="A60" s="1"/>
      <c r="B60" s="39"/>
      <c r="C60" s="5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5">
      <c r="A61" s="1"/>
      <c r="B61" s="39"/>
      <c r="C61" s="5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5">
      <c r="A62" s="1"/>
      <c r="B62" s="39"/>
      <c r="C62" s="5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5">
      <c r="A63" s="1"/>
      <c r="B63" s="39"/>
      <c r="C63" s="5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1"/>
      <c r="B64" s="39"/>
      <c r="C64" s="5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5">
      <c r="A65" s="1"/>
      <c r="B65" s="39"/>
      <c r="C65" s="5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1"/>
      <c r="B66" s="39"/>
      <c r="C66" s="5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1"/>
      <c r="B67" s="39"/>
      <c r="C67" s="5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5">
      <c r="A68" s="1"/>
      <c r="B68" s="39"/>
      <c r="C68" s="5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1"/>
      <c r="B69" s="39"/>
      <c r="C69" s="5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1"/>
      <c r="B70" s="39"/>
      <c r="C70" s="56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1"/>
      <c r="B71" s="39"/>
      <c r="C71" s="56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1"/>
      <c r="B72" s="39"/>
      <c r="C72" s="56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1"/>
      <c r="B73" s="39"/>
      <c r="C73" s="56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1"/>
      <c r="B74" s="39"/>
      <c r="C74" s="5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1"/>
      <c r="B75" s="39"/>
      <c r="C75" s="5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1"/>
      <c r="B76" s="39"/>
      <c r="C76" s="5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1"/>
      <c r="B77" s="39"/>
      <c r="C77" s="5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1"/>
      <c r="B78" s="39"/>
      <c r="C78" s="56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1"/>
      <c r="B79" s="39"/>
      <c r="C79" s="5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5">
      <c r="A80" s="1"/>
      <c r="B80" s="39"/>
      <c r="C80" s="56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5">
      <c r="A81" s="1"/>
      <c r="B81" s="39"/>
      <c r="C81" s="56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5">
      <c r="A82" s="1"/>
      <c r="B82" s="39"/>
      <c r="C82" s="56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1"/>
      <c r="B83" s="39"/>
      <c r="C83" s="56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1"/>
      <c r="B84" s="39"/>
      <c r="C84" s="56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1"/>
      <c r="B85" s="39"/>
      <c r="C85" s="56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1"/>
      <c r="B86" s="39"/>
      <c r="C86" s="56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1"/>
      <c r="B87" s="39"/>
      <c r="C87" s="56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1"/>
      <c r="B88" s="39"/>
      <c r="C88" s="56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1"/>
      <c r="B89" s="39"/>
      <c r="C89" s="56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1"/>
      <c r="B90" s="39"/>
      <c r="C90" s="56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1"/>
      <c r="B91" s="39"/>
      <c r="C91" s="56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1"/>
      <c r="B92" s="39"/>
      <c r="C92" s="56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1"/>
      <c r="B93" s="39"/>
      <c r="C93" s="56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1"/>
      <c r="B94" s="39"/>
      <c r="C94" s="56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1"/>
      <c r="B95" s="39"/>
      <c r="C95" s="56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1"/>
      <c r="B96" s="39"/>
      <c r="C96" s="56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1"/>
      <c r="B97" s="39"/>
      <c r="C97" s="56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1"/>
      <c r="B98" s="39"/>
      <c r="C98" s="56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1"/>
      <c r="B99" s="39"/>
      <c r="C99" s="56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1"/>
      <c r="B100" s="39"/>
      <c r="C100" s="5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</sheetData>
  <autoFilter ref="A1:Y65" xr:uid="{00000000-0009-0000-0000-000004000000}"/>
  <mergeCells count="5">
    <mergeCell ref="B2:Q2"/>
    <mergeCell ref="E3:J3"/>
    <mergeCell ref="K3:L3"/>
    <mergeCell ref="O3:Q3"/>
    <mergeCell ref="B3:C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80"/>
  <sheetViews>
    <sheetView tabSelected="1"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:C77"/>
    </sheetView>
  </sheetViews>
  <sheetFormatPr baseColWidth="10" defaultColWidth="14.42578125" defaultRowHeight="15" customHeight="1" x14ac:dyDescent="0.25"/>
  <cols>
    <col min="1" max="1" width="6.28515625" customWidth="1"/>
    <col min="2" max="2" width="19.42578125" customWidth="1"/>
    <col min="3" max="3" width="60.85546875" customWidth="1"/>
    <col min="4" max="4" width="14.5703125" customWidth="1"/>
    <col min="5" max="5" width="14.7109375" customWidth="1"/>
    <col min="6" max="6" width="16" customWidth="1"/>
    <col min="7" max="7" width="29.42578125" customWidth="1"/>
    <col min="8" max="8" width="15.140625" customWidth="1"/>
    <col min="9" max="9" width="18.28515625" customWidth="1"/>
    <col min="10" max="10" width="44.42578125" customWidth="1"/>
    <col min="11" max="11" width="11.5703125" customWidth="1"/>
  </cols>
  <sheetData>
    <row r="1" spans="1:11" ht="18.75" x14ac:dyDescent="0.3">
      <c r="A1" s="57"/>
      <c r="B1" s="57"/>
      <c r="C1" s="58" t="s">
        <v>14</v>
      </c>
      <c r="D1" s="57"/>
      <c r="E1" s="57"/>
      <c r="F1" s="57"/>
      <c r="G1" s="57"/>
      <c r="H1" s="57"/>
      <c r="I1" s="57"/>
      <c r="J1" s="57"/>
      <c r="K1" s="57"/>
    </row>
    <row r="2" spans="1:11" ht="21" x14ac:dyDescent="0.35">
      <c r="A2" s="59"/>
      <c r="B2" s="60" t="s">
        <v>0</v>
      </c>
      <c r="C2" s="61">
        <v>45497</v>
      </c>
      <c r="D2" s="57"/>
      <c r="E2" s="57"/>
      <c r="F2" s="57"/>
      <c r="G2" s="57"/>
      <c r="H2" s="57"/>
      <c r="I2" s="57"/>
      <c r="J2" s="57"/>
      <c r="K2" s="57"/>
    </row>
    <row r="3" spans="1:11" ht="45" x14ac:dyDescent="0.25">
      <c r="A3" s="62" t="s">
        <v>115</v>
      </c>
      <c r="B3" s="63" t="s">
        <v>116</v>
      </c>
      <c r="C3" s="64" t="s">
        <v>117</v>
      </c>
      <c r="D3" s="65" t="s">
        <v>118</v>
      </c>
      <c r="E3" s="65" t="s">
        <v>119</v>
      </c>
      <c r="F3" s="65" t="s">
        <v>52</v>
      </c>
      <c r="G3" s="66" t="s">
        <v>53</v>
      </c>
      <c r="H3" s="67" t="s">
        <v>120</v>
      </c>
      <c r="I3" s="68" t="s">
        <v>121</v>
      </c>
      <c r="J3" s="57"/>
      <c r="K3" s="57"/>
    </row>
    <row r="4" spans="1:11" x14ac:dyDescent="0.25">
      <c r="A4" s="182">
        <v>1</v>
      </c>
      <c r="B4" s="184" t="s">
        <v>122</v>
      </c>
      <c r="C4" s="69" t="s">
        <v>123</v>
      </c>
      <c r="D4" s="151"/>
      <c r="E4" s="151"/>
      <c r="F4" s="151"/>
      <c r="G4" s="151"/>
      <c r="H4" s="151"/>
      <c r="I4" s="152"/>
      <c r="J4" s="57"/>
      <c r="K4" s="57"/>
    </row>
    <row r="5" spans="1:11" x14ac:dyDescent="0.25">
      <c r="A5" s="187"/>
      <c r="B5" s="189"/>
      <c r="C5" s="69" t="s">
        <v>124</v>
      </c>
      <c r="D5" s="151"/>
      <c r="E5" s="151"/>
      <c r="F5" s="151"/>
      <c r="G5" s="151"/>
      <c r="H5" s="151"/>
      <c r="I5" s="152"/>
      <c r="J5" s="57"/>
      <c r="K5" s="57"/>
    </row>
    <row r="6" spans="1:11" x14ac:dyDescent="0.25">
      <c r="A6" s="187"/>
      <c r="B6" s="189"/>
      <c r="C6" s="69" t="s">
        <v>125</v>
      </c>
      <c r="D6" s="151"/>
      <c r="E6" s="151"/>
      <c r="F6" s="151"/>
      <c r="G6" s="151"/>
      <c r="H6" s="151"/>
      <c r="I6" s="152"/>
      <c r="J6" s="57"/>
      <c r="K6" s="57"/>
    </row>
    <row r="7" spans="1:11" x14ac:dyDescent="0.25">
      <c r="A7" s="187"/>
      <c r="B7" s="189"/>
      <c r="C7" s="69" t="s">
        <v>126</v>
      </c>
      <c r="D7" s="151"/>
      <c r="E7" s="151"/>
      <c r="F7" s="151"/>
      <c r="G7" s="151"/>
      <c r="H7" s="151"/>
      <c r="I7" s="152"/>
      <c r="J7" s="57"/>
      <c r="K7" s="57"/>
    </row>
    <row r="8" spans="1:11" x14ac:dyDescent="0.25">
      <c r="A8" s="187"/>
      <c r="B8" s="189"/>
      <c r="C8" s="69" t="s">
        <v>127</v>
      </c>
      <c r="D8" s="151"/>
      <c r="E8" s="151"/>
      <c r="F8" s="151"/>
      <c r="G8" s="151"/>
      <c r="H8" s="151"/>
      <c r="I8" s="152"/>
      <c r="J8" s="57"/>
      <c r="K8" s="57"/>
    </row>
    <row r="9" spans="1:11" x14ac:dyDescent="0.25">
      <c r="A9" s="187"/>
      <c r="B9" s="189"/>
      <c r="C9" s="69" t="s">
        <v>128</v>
      </c>
      <c r="D9" s="151"/>
      <c r="E9" s="151"/>
      <c r="F9" s="151"/>
      <c r="G9" s="151"/>
      <c r="H9" s="151"/>
      <c r="I9" s="152"/>
      <c r="J9" s="57"/>
      <c r="K9" s="57"/>
    </row>
    <row r="10" spans="1:11" x14ac:dyDescent="0.25">
      <c r="A10" s="187"/>
      <c r="B10" s="189"/>
      <c r="C10" s="69" t="s">
        <v>129</v>
      </c>
      <c r="D10" s="151"/>
      <c r="E10" s="151"/>
      <c r="F10" s="151"/>
      <c r="G10" s="151"/>
      <c r="H10" s="151"/>
      <c r="I10" s="152"/>
      <c r="J10" s="57"/>
      <c r="K10" s="57"/>
    </row>
    <row r="11" spans="1:11" x14ac:dyDescent="0.25">
      <c r="A11" s="183"/>
      <c r="B11" s="185"/>
      <c r="C11" s="69" t="s">
        <v>130</v>
      </c>
      <c r="D11" s="151"/>
      <c r="E11" s="151"/>
      <c r="F11" s="151"/>
      <c r="G11" s="151"/>
      <c r="H11" s="151"/>
      <c r="I11" s="152"/>
      <c r="J11" s="57"/>
      <c r="K11" s="57"/>
    </row>
    <row r="12" spans="1:11" x14ac:dyDescent="0.25">
      <c r="A12" s="186">
        <v>2</v>
      </c>
      <c r="B12" s="188" t="s">
        <v>131</v>
      </c>
      <c r="C12" s="71" t="s">
        <v>132</v>
      </c>
      <c r="D12" s="153"/>
      <c r="E12" s="153"/>
      <c r="F12" s="153"/>
      <c r="G12" s="153"/>
      <c r="H12" s="153"/>
      <c r="I12" s="154"/>
      <c r="J12" s="57"/>
      <c r="K12" s="57"/>
    </row>
    <row r="13" spans="1:11" x14ac:dyDescent="0.25">
      <c r="A13" s="187"/>
      <c r="B13" s="189"/>
      <c r="C13" s="71" t="s">
        <v>133</v>
      </c>
      <c r="D13" s="153"/>
      <c r="E13" s="153"/>
      <c r="F13" s="153"/>
      <c r="G13" s="153"/>
      <c r="H13" s="153"/>
      <c r="I13" s="154"/>
      <c r="J13" s="57"/>
      <c r="K13" s="57"/>
    </row>
    <row r="14" spans="1:11" x14ac:dyDescent="0.25">
      <c r="A14" s="187"/>
      <c r="B14" s="189"/>
      <c r="C14" s="71" t="s">
        <v>134</v>
      </c>
      <c r="D14" s="153"/>
      <c r="E14" s="153"/>
      <c r="F14" s="153"/>
      <c r="G14" s="153"/>
      <c r="H14" s="153"/>
      <c r="I14" s="154"/>
      <c r="J14" s="57"/>
      <c r="K14" s="57"/>
    </row>
    <row r="15" spans="1:11" x14ac:dyDescent="0.25">
      <c r="A15" s="187"/>
      <c r="B15" s="189"/>
      <c r="C15" s="71" t="s">
        <v>14</v>
      </c>
      <c r="D15" s="153"/>
      <c r="E15" s="153"/>
      <c r="F15" s="153"/>
      <c r="G15" s="153"/>
      <c r="H15" s="153"/>
      <c r="I15" s="154"/>
      <c r="J15" s="57"/>
      <c r="K15" s="57"/>
    </row>
    <row r="16" spans="1:11" x14ac:dyDescent="0.25">
      <c r="A16" s="187"/>
      <c r="B16" s="189"/>
      <c r="C16" s="71" t="s">
        <v>135</v>
      </c>
      <c r="D16" s="153"/>
      <c r="E16" s="153"/>
      <c r="F16" s="153"/>
      <c r="G16" s="153"/>
      <c r="H16" s="153"/>
      <c r="I16" s="154"/>
      <c r="J16" s="57"/>
      <c r="K16" s="57"/>
    </row>
    <row r="17" spans="1:11" x14ac:dyDescent="0.25">
      <c r="A17" s="187"/>
      <c r="B17" s="189"/>
      <c r="C17" s="71" t="s">
        <v>136</v>
      </c>
      <c r="D17" s="153"/>
      <c r="E17" s="153"/>
      <c r="F17" s="153"/>
      <c r="G17" s="153"/>
      <c r="H17" s="153"/>
      <c r="I17" s="154"/>
      <c r="J17" s="57"/>
      <c r="K17" s="57"/>
    </row>
    <row r="18" spans="1:11" x14ac:dyDescent="0.25">
      <c r="A18" s="183"/>
      <c r="B18" s="185"/>
      <c r="C18" s="71" t="s">
        <v>137</v>
      </c>
      <c r="D18" s="153"/>
      <c r="E18" s="153"/>
      <c r="F18" s="153"/>
      <c r="G18" s="153"/>
      <c r="H18" s="153"/>
      <c r="I18" s="154"/>
      <c r="J18" s="57"/>
      <c r="K18" s="57"/>
    </row>
    <row r="19" spans="1:11" x14ac:dyDescent="0.25">
      <c r="A19" s="182">
        <v>3</v>
      </c>
      <c r="B19" s="184" t="s">
        <v>138</v>
      </c>
      <c r="C19" s="69" t="s">
        <v>139</v>
      </c>
      <c r="D19" s="151"/>
      <c r="E19" s="151"/>
      <c r="F19" s="151"/>
      <c r="G19" s="151"/>
      <c r="H19" s="151"/>
      <c r="I19" s="152"/>
      <c r="J19" s="57"/>
      <c r="K19" s="57"/>
    </row>
    <row r="20" spans="1:11" x14ac:dyDescent="0.25">
      <c r="A20" s="187"/>
      <c r="B20" s="189"/>
      <c r="C20" s="69" t="s">
        <v>140</v>
      </c>
      <c r="D20" s="151"/>
      <c r="E20" s="151"/>
      <c r="F20" s="151"/>
      <c r="G20" s="151"/>
      <c r="H20" s="151"/>
      <c r="I20" s="152"/>
      <c r="J20" s="57"/>
      <c r="K20" s="57"/>
    </row>
    <row r="21" spans="1:11" ht="15.75" customHeight="1" x14ac:dyDescent="0.25">
      <c r="A21" s="187"/>
      <c r="B21" s="189"/>
      <c r="C21" s="69" t="s">
        <v>141</v>
      </c>
      <c r="D21" s="151"/>
      <c r="E21" s="151"/>
      <c r="F21" s="151"/>
      <c r="G21" s="151"/>
      <c r="H21" s="151"/>
      <c r="I21" s="152"/>
      <c r="J21" s="57"/>
      <c r="K21" s="57"/>
    </row>
    <row r="22" spans="1:11" ht="15.75" customHeight="1" x14ac:dyDescent="0.25">
      <c r="A22" s="187"/>
      <c r="B22" s="189"/>
      <c r="C22" s="69" t="s">
        <v>142</v>
      </c>
      <c r="D22" s="151"/>
      <c r="E22" s="151"/>
      <c r="F22" s="151"/>
      <c r="G22" s="151"/>
      <c r="H22" s="151"/>
      <c r="I22" s="152"/>
      <c r="J22" s="57"/>
      <c r="K22" s="57"/>
    </row>
    <row r="23" spans="1:11" ht="15.75" customHeight="1" x14ac:dyDescent="0.25">
      <c r="A23" s="187"/>
      <c r="B23" s="189"/>
      <c r="C23" s="69" t="s">
        <v>143</v>
      </c>
      <c r="D23" s="151"/>
      <c r="E23" s="151"/>
      <c r="F23" s="151"/>
      <c r="G23" s="151"/>
      <c r="H23" s="151"/>
      <c r="I23" s="152"/>
      <c r="J23" s="57"/>
      <c r="K23" s="57"/>
    </row>
    <row r="24" spans="1:11" ht="15.75" customHeight="1" x14ac:dyDescent="0.25">
      <c r="A24" s="187"/>
      <c r="B24" s="189"/>
      <c r="C24" s="69" t="s">
        <v>144</v>
      </c>
      <c r="D24" s="151"/>
      <c r="E24" s="151"/>
      <c r="F24" s="151"/>
      <c r="G24" s="151"/>
      <c r="H24" s="151"/>
      <c r="I24" s="152"/>
      <c r="J24" s="57"/>
      <c r="K24" s="57"/>
    </row>
    <row r="25" spans="1:11" ht="15.75" customHeight="1" x14ac:dyDescent="0.25">
      <c r="A25" s="183"/>
      <c r="B25" s="185"/>
      <c r="C25" s="69" t="s">
        <v>145</v>
      </c>
      <c r="D25" s="151"/>
      <c r="E25" s="151"/>
      <c r="F25" s="151"/>
      <c r="G25" s="151"/>
      <c r="H25" s="151"/>
      <c r="I25" s="152"/>
      <c r="J25" s="57"/>
      <c r="K25" s="57"/>
    </row>
    <row r="26" spans="1:11" ht="15.75" customHeight="1" x14ac:dyDescent="0.25">
      <c r="A26" s="186">
        <v>4</v>
      </c>
      <c r="B26" s="188" t="s">
        <v>15</v>
      </c>
      <c r="C26" s="71" t="s">
        <v>105</v>
      </c>
      <c r="D26" s="72">
        <f>OPERATIVOS!E5</f>
        <v>0</v>
      </c>
      <c r="E26" s="72"/>
      <c r="F26" s="72"/>
      <c r="G26" s="72"/>
      <c r="H26" s="72"/>
      <c r="I26" s="73"/>
      <c r="J26" s="57"/>
      <c r="K26" s="57"/>
    </row>
    <row r="27" spans="1:11" ht="15.75" customHeight="1" x14ac:dyDescent="0.25">
      <c r="A27" s="187"/>
      <c r="B27" s="189"/>
      <c r="C27" s="71" t="s">
        <v>106</v>
      </c>
      <c r="D27" s="72">
        <f>OPERATIVOS!E6</f>
        <v>0</v>
      </c>
      <c r="E27" s="74">
        <f>CARRUSEL!K4</f>
        <v>0</v>
      </c>
      <c r="F27" s="74">
        <f>CARRUSEL!G4</f>
        <v>0</v>
      </c>
      <c r="G27" s="74">
        <f>CARRUSEL!H4</f>
        <v>0</v>
      </c>
      <c r="H27" s="72"/>
      <c r="I27" s="75">
        <f>CARRUSEL!R4</f>
        <v>0</v>
      </c>
      <c r="J27" s="57"/>
      <c r="K27" s="57"/>
    </row>
    <row r="28" spans="1:11" ht="15.75" customHeight="1" x14ac:dyDescent="0.25">
      <c r="A28" s="187"/>
      <c r="B28" s="189"/>
      <c r="C28" s="71" t="s">
        <v>107</v>
      </c>
      <c r="D28" s="72">
        <f>OPERATIVOS!E7</f>
        <v>0</v>
      </c>
      <c r="E28" s="72"/>
      <c r="F28" s="72"/>
      <c r="G28" s="72"/>
      <c r="H28" s="72"/>
      <c r="I28" s="73"/>
      <c r="J28" s="57"/>
      <c r="K28" s="57"/>
    </row>
    <row r="29" spans="1:11" ht="15.75" customHeight="1" x14ac:dyDescent="0.25">
      <c r="A29" s="187"/>
      <c r="B29" s="189"/>
      <c r="C29" s="71" t="s">
        <v>146</v>
      </c>
      <c r="D29" s="72">
        <f>OPERATIVOS!E8</f>
        <v>0</v>
      </c>
      <c r="E29" s="72"/>
      <c r="F29" s="72"/>
      <c r="G29" s="72"/>
      <c r="H29" s="72"/>
      <c r="I29" s="73"/>
      <c r="J29" s="57"/>
      <c r="K29" s="57"/>
    </row>
    <row r="30" spans="1:11" ht="15.75" customHeight="1" x14ac:dyDescent="0.25">
      <c r="A30" s="187"/>
      <c r="B30" s="189"/>
      <c r="C30" s="71" t="s">
        <v>109</v>
      </c>
      <c r="D30" s="72">
        <f>OPERATIVOS!E9</f>
        <v>0</v>
      </c>
      <c r="E30" s="72"/>
      <c r="F30" s="72"/>
      <c r="G30" s="72"/>
      <c r="H30" s="72"/>
      <c r="I30" s="73"/>
      <c r="J30" s="57"/>
      <c r="K30" s="57"/>
    </row>
    <row r="31" spans="1:11" ht="15.75" customHeight="1" x14ac:dyDescent="0.25">
      <c r="A31" s="187"/>
      <c r="B31" s="189"/>
      <c r="C31" s="71" t="s">
        <v>110</v>
      </c>
      <c r="D31" s="72">
        <f>OPERATIVOS!E10</f>
        <v>0</v>
      </c>
      <c r="E31" s="72"/>
      <c r="F31" s="72"/>
      <c r="G31" s="72"/>
      <c r="H31" s="72"/>
      <c r="I31" s="73"/>
      <c r="J31" s="57"/>
      <c r="K31" s="57"/>
    </row>
    <row r="32" spans="1:11" ht="15.75" customHeight="1" x14ac:dyDescent="0.25">
      <c r="A32" s="187"/>
      <c r="B32" s="189"/>
      <c r="C32" s="71" t="s">
        <v>111</v>
      </c>
      <c r="D32" s="72">
        <f>OPERATIVOS!E11</f>
        <v>0</v>
      </c>
      <c r="E32" s="72"/>
      <c r="F32" s="72"/>
      <c r="G32" s="72"/>
      <c r="H32" s="72"/>
      <c r="I32" s="73"/>
      <c r="J32" s="57"/>
      <c r="K32" s="57"/>
    </row>
    <row r="33" spans="1:11" ht="15.75" customHeight="1" x14ac:dyDescent="0.25">
      <c r="A33" s="187"/>
      <c r="B33" s="189"/>
      <c r="C33" s="71" t="s">
        <v>112</v>
      </c>
      <c r="D33" s="72">
        <f>OPERATIVOS!E12</f>
        <v>0</v>
      </c>
      <c r="E33" s="72"/>
      <c r="F33" s="72"/>
      <c r="G33" s="72"/>
      <c r="H33" s="72"/>
      <c r="I33" s="73"/>
      <c r="J33" s="57"/>
      <c r="K33" s="57"/>
    </row>
    <row r="34" spans="1:11" ht="15.75" customHeight="1" x14ac:dyDescent="0.25">
      <c r="A34" s="187"/>
      <c r="B34" s="189"/>
      <c r="C34" s="71" t="s">
        <v>113</v>
      </c>
      <c r="D34" s="72">
        <f>OPERATIVOS!E13</f>
        <v>0</v>
      </c>
      <c r="E34" s="72"/>
      <c r="F34" s="72"/>
      <c r="G34" s="72"/>
      <c r="H34" s="72"/>
      <c r="I34" s="73"/>
      <c r="J34" s="57"/>
      <c r="K34" s="57"/>
    </row>
    <row r="35" spans="1:11" ht="15.75" customHeight="1" x14ac:dyDescent="0.25">
      <c r="A35" s="190"/>
      <c r="B35" s="191"/>
      <c r="C35" s="71" t="s">
        <v>114</v>
      </c>
      <c r="D35" s="72">
        <f>OPERATIVOS!E14</f>
        <v>0</v>
      </c>
      <c r="E35" s="72"/>
      <c r="F35" s="72"/>
      <c r="G35" s="72"/>
      <c r="H35" s="72"/>
      <c r="I35" s="73"/>
      <c r="J35" s="57"/>
      <c r="K35" s="57"/>
    </row>
    <row r="36" spans="1:11" ht="15.75" customHeight="1" x14ac:dyDescent="0.25">
      <c r="A36" s="182">
        <v>5</v>
      </c>
      <c r="B36" s="184" t="s">
        <v>147</v>
      </c>
      <c r="C36" s="69" t="s">
        <v>148</v>
      </c>
      <c r="D36" s="151"/>
      <c r="E36" s="151"/>
      <c r="F36" s="151"/>
      <c r="G36" s="151"/>
      <c r="H36" s="151"/>
      <c r="I36" s="152"/>
      <c r="J36" s="57"/>
      <c r="K36" s="57"/>
    </row>
    <row r="37" spans="1:11" ht="15.75" customHeight="1" x14ac:dyDescent="0.25">
      <c r="A37" s="183"/>
      <c r="B37" s="185"/>
      <c r="C37" s="69" t="s">
        <v>149</v>
      </c>
      <c r="D37" s="151"/>
      <c r="E37" s="151"/>
      <c r="F37" s="151"/>
      <c r="G37" s="151"/>
      <c r="H37" s="151"/>
      <c r="I37" s="152"/>
      <c r="J37" s="57"/>
      <c r="K37" s="57"/>
    </row>
    <row r="38" spans="1:11" ht="15.75" customHeight="1" x14ac:dyDescent="0.25">
      <c r="A38" s="186">
        <v>6</v>
      </c>
      <c r="B38" s="188" t="s">
        <v>150</v>
      </c>
      <c r="C38" s="71" t="s">
        <v>151</v>
      </c>
      <c r="D38" s="153"/>
      <c r="E38" s="153"/>
      <c r="F38" s="153"/>
      <c r="G38" s="153"/>
      <c r="H38" s="153"/>
      <c r="I38" s="154"/>
      <c r="J38" s="57"/>
      <c r="K38" s="57"/>
    </row>
    <row r="39" spans="1:11" ht="15.75" customHeight="1" x14ac:dyDescent="0.25">
      <c r="A39" s="187"/>
      <c r="B39" s="189"/>
      <c r="C39" s="71" t="s">
        <v>152</v>
      </c>
      <c r="D39" s="153"/>
      <c r="E39" s="153"/>
      <c r="F39" s="153"/>
      <c r="G39" s="153"/>
      <c r="H39" s="153"/>
      <c r="I39" s="154"/>
      <c r="J39" s="57"/>
      <c r="K39" s="57"/>
    </row>
    <row r="40" spans="1:11" ht="15.75" customHeight="1" x14ac:dyDescent="0.25">
      <c r="A40" s="187"/>
      <c r="B40" s="189"/>
      <c r="C40" s="71" t="s">
        <v>153</v>
      </c>
      <c r="D40" s="153"/>
      <c r="E40" s="153"/>
      <c r="F40" s="153"/>
      <c r="G40" s="153"/>
      <c r="H40" s="153"/>
      <c r="I40" s="154"/>
      <c r="J40" s="57"/>
      <c r="K40" s="57"/>
    </row>
    <row r="41" spans="1:11" ht="15.75" customHeight="1" x14ac:dyDescent="0.25">
      <c r="A41" s="187"/>
      <c r="B41" s="189"/>
      <c r="C41" s="71" t="s">
        <v>154</v>
      </c>
      <c r="D41" s="153">
        <v>1</v>
      </c>
      <c r="E41" s="153"/>
      <c r="F41" s="153"/>
      <c r="G41" s="153"/>
      <c r="H41" s="153"/>
      <c r="I41" s="154"/>
      <c r="J41" s="57"/>
      <c r="K41" s="57"/>
    </row>
    <row r="42" spans="1:11" ht="15.75" customHeight="1" x14ac:dyDescent="0.25">
      <c r="A42" s="187"/>
      <c r="B42" s="189"/>
      <c r="C42" s="71" t="s">
        <v>155</v>
      </c>
      <c r="D42" s="153"/>
      <c r="E42" s="153"/>
      <c r="F42" s="153"/>
      <c r="G42" s="153"/>
      <c r="H42" s="153"/>
      <c r="I42" s="154"/>
      <c r="J42" s="57"/>
      <c r="K42" s="57"/>
    </row>
    <row r="43" spans="1:11" ht="15.75" customHeight="1" x14ac:dyDescent="0.25">
      <c r="A43" s="187"/>
      <c r="B43" s="189"/>
      <c r="C43" s="71" t="s">
        <v>156</v>
      </c>
      <c r="D43" s="153">
        <v>1</v>
      </c>
      <c r="E43" s="153"/>
      <c r="F43" s="153"/>
      <c r="G43" s="153"/>
      <c r="H43" s="153"/>
      <c r="I43" s="154"/>
      <c r="J43" s="57"/>
      <c r="K43" s="57"/>
    </row>
    <row r="44" spans="1:11" ht="15.75" customHeight="1" x14ac:dyDescent="0.25">
      <c r="A44" s="187"/>
      <c r="B44" s="189"/>
      <c r="C44" s="71" t="s">
        <v>157</v>
      </c>
      <c r="D44" s="153"/>
      <c r="E44" s="153"/>
      <c r="F44" s="153"/>
      <c r="G44" s="153"/>
      <c r="H44" s="153"/>
      <c r="I44" s="154"/>
      <c r="J44" s="57"/>
      <c r="K44" s="57"/>
    </row>
    <row r="45" spans="1:11" ht="15.75" customHeight="1" x14ac:dyDescent="0.25">
      <c r="A45" s="187"/>
      <c r="B45" s="189"/>
      <c r="C45" s="71" t="s">
        <v>158</v>
      </c>
      <c r="D45" s="153"/>
      <c r="E45" s="153"/>
      <c r="F45" s="153"/>
      <c r="G45" s="153"/>
      <c r="H45" s="153"/>
      <c r="I45" s="154"/>
      <c r="J45" s="57"/>
      <c r="K45" s="57"/>
    </row>
    <row r="46" spans="1:11" ht="15.75" customHeight="1" x14ac:dyDescent="0.25">
      <c r="A46" s="183"/>
      <c r="B46" s="185"/>
      <c r="C46" s="71" t="s">
        <v>159</v>
      </c>
      <c r="D46" s="153"/>
      <c r="E46" s="153"/>
      <c r="F46" s="153"/>
      <c r="G46" s="153"/>
      <c r="H46" s="153"/>
      <c r="I46" s="154"/>
      <c r="J46" s="57"/>
      <c r="K46" s="57"/>
    </row>
    <row r="47" spans="1:11" ht="15.75" customHeight="1" x14ac:dyDescent="0.25">
      <c r="A47" s="182">
        <v>7</v>
      </c>
      <c r="B47" s="184" t="s">
        <v>160</v>
      </c>
      <c r="C47" s="69" t="s">
        <v>161</v>
      </c>
      <c r="D47" s="151"/>
      <c r="E47" s="151"/>
      <c r="F47" s="151"/>
      <c r="G47" s="151"/>
      <c r="H47" s="151"/>
      <c r="I47" s="152"/>
      <c r="J47" s="57"/>
      <c r="K47" s="57"/>
    </row>
    <row r="48" spans="1:11" ht="15.75" customHeight="1" x14ac:dyDescent="0.25">
      <c r="A48" s="187"/>
      <c r="B48" s="189"/>
      <c r="C48" s="76" t="s">
        <v>162</v>
      </c>
      <c r="D48" s="151"/>
      <c r="E48" s="151"/>
      <c r="F48" s="151"/>
      <c r="G48" s="151"/>
      <c r="H48" s="151"/>
      <c r="I48" s="152"/>
      <c r="J48" s="57"/>
      <c r="K48" s="57"/>
    </row>
    <row r="49" spans="1:11" ht="15.75" customHeight="1" x14ac:dyDescent="0.25">
      <c r="A49" s="187"/>
      <c r="B49" s="189"/>
      <c r="C49" s="69" t="s">
        <v>163</v>
      </c>
      <c r="D49" s="151"/>
      <c r="E49" s="151"/>
      <c r="F49" s="151"/>
      <c r="G49" s="151"/>
      <c r="H49" s="151"/>
      <c r="I49" s="152"/>
      <c r="J49" s="57"/>
      <c r="K49" s="57"/>
    </row>
    <row r="50" spans="1:11" ht="15.75" customHeight="1" x14ac:dyDescent="0.25">
      <c r="A50" s="187"/>
      <c r="B50" s="189"/>
      <c r="C50" s="77" t="s">
        <v>164</v>
      </c>
      <c r="D50" s="151"/>
      <c r="E50" s="151"/>
      <c r="F50" s="151"/>
      <c r="G50" s="151"/>
      <c r="H50" s="151"/>
      <c r="I50" s="152"/>
      <c r="J50" s="57"/>
      <c r="K50" s="57"/>
    </row>
    <row r="51" spans="1:11" ht="15.75" customHeight="1" x14ac:dyDescent="0.25">
      <c r="A51" s="183"/>
      <c r="B51" s="185"/>
      <c r="C51" s="77" t="s">
        <v>165</v>
      </c>
      <c r="D51" s="151"/>
      <c r="E51" s="151"/>
      <c r="F51" s="151"/>
      <c r="G51" s="151"/>
      <c r="H51" s="151"/>
      <c r="I51" s="152"/>
      <c r="J51" s="57"/>
      <c r="K51" s="57"/>
    </row>
    <row r="52" spans="1:11" ht="15.75" customHeight="1" x14ac:dyDescent="0.25">
      <c r="A52" s="186">
        <v>8</v>
      </c>
      <c r="B52" s="188" t="s">
        <v>166</v>
      </c>
      <c r="C52" s="71" t="s">
        <v>167</v>
      </c>
      <c r="D52" s="153">
        <v>1</v>
      </c>
      <c r="E52" s="153"/>
      <c r="F52" s="153"/>
      <c r="G52" s="153"/>
      <c r="H52" s="153"/>
      <c r="I52" s="154"/>
      <c r="J52" s="57"/>
      <c r="K52" s="57"/>
    </row>
    <row r="53" spans="1:11" ht="15.75" customHeight="1" x14ac:dyDescent="0.25">
      <c r="A53" s="187"/>
      <c r="B53" s="189"/>
      <c r="C53" s="71" t="s">
        <v>168</v>
      </c>
      <c r="D53" s="153"/>
      <c r="E53" s="153"/>
      <c r="F53" s="153"/>
      <c r="G53" s="153"/>
      <c r="H53" s="153"/>
      <c r="I53" s="154"/>
      <c r="J53" s="57"/>
      <c r="K53" s="57"/>
    </row>
    <row r="54" spans="1:11" ht="15.75" customHeight="1" x14ac:dyDescent="0.25">
      <c r="A54" s="187"/>
      <c r="B54" s="189"/>
      <c r="C54" s="71" t="s">
        <v>169</v>
      </c>
      <c r="D54" s="153"/>
      <c r="E54" s="153"/>
      <c r="F54" s="153"/>
      <c r="G54" s="153"/>
      <c r="H54" s="153"/>
      <c r="I54" s="154"/>
      <c r="J54" s="57"/>
      <c r="K54" s="57"/>
    </row>
    <row r="55" spans="1:11" ht="15.75" customHeight="1" x14ac:dyDescent="0.25">
      <c r="A55" s="187"/>
      <c r="B55" s="189"/>
      <c r="C55" s="71" t="s">
        <v>170</v>
      </c>
      <c r="D55" s="153"/>
      <c r="E55" s="153"/>
      <c r="F55" s="153"/>
      <c r="G55" s="153"/>
      <c r="H55" s="153"/>
      <c r="I55" s="154"/>
      <c r="J55" s="57"/>
      <c r="K55" s="57"/>
    </row>
    <row r="56" spans="1:11" ht="15.75" customHeight="1" x14ac:dyDescent="0.25">
      <c r="A56" s="187"/>
      <c r="B56" s="189"/>
      <c r="C56" s="71" t="s">
        <v>171</v>
      </c>
      <c r="D56" s="153"/>
      <c r="E56" s="153"/>
      <c r="F56" s="153"/>
      <c r="G56" s="153"/>
      <c r="H56" s="153"/>
      <c r="I56" s="154"/>
      <c r="J56" s="57"/>
      <c r="K56" s="57"/>
    </row>
    <row r="57" spans="1:11" ht="15.75" customHeight="1" x14ac:dyDescent="0.25">
      <c r="A57" s="187"/>
      <c r="B57" s="189"/>
      <c r="C57" s="78" t="s">
        <v>172</v>
      </c>
      <c r="D57" s="153"/>
      <c r="E57" s="153"/>
      <c r="F57" s="153"/>
      <c r="G57" s="157"/>
      <c r="H57" s="153"/>
      <c r="I57" s="154"/>
      <c r="J57" s="57"/>
      <c r="K57" s="57"/>
    </row>
    <row r="58" spans="1:11" ht="15.75" customHeight="1" x14ac:dyDescent="0.25">
      <c r="A58" s="187"/>
      <c r="B58" s="189"/>
      <c r="C58" s="71" t="s">
        <v>173</v>
      </c>
      <c r="D58" s="153"/>
      <c r="E58" s="153"/>
      <c r="F58" s="153"/>
      <c r="G58" s="153"/>
      <c r="H58" s="153"/>
      <c r="I58" s="154"/>
      <c r="J58" s="57"/>
      <c r="K58" s="57"/>
    </row>
    <row r="59" spans="1:11" ht="15.75" customHeight="1" x14ac:dyDescent="0.25">
      <c r="A59" s="183"/>
      <c r="B59" s="185"/>
      <c r="C59" s="71" t="s">
        <v>174</v>
      </c>
      <c r="D59" s="153"/>
      <c r="E59" s="153"/>
      <c r="F59" s="153"/>
      <c r="G59" s="153"/>
      <c r="H59" s="153"/>
      <c r="I59" s="154"/>
      <c r="J59" s="57"/>
      <c r="K59" s="57"/>
    </row>
    <row r="60" spans="1:11" ht="15.75" customHeight="1" x14ac:dyDescent="0.25">
      <c r="A60" s="182">
        <v>9</v>
      </c>
      <c r="B60" s="184" t="s">
        <v>175</v>
      </c>
      <c r="C60" s="69" t="s">
        <v>176</v>
      </c>
      <c r="D60" s="151"/>
      <c r="E60" s="151"/>
      <c r="F60" s="151"/>
      <c r="G60" s="151"/>
      <c r="H60" s="151"/>
      <c r="I60" s="152"/>
      <c r="J60" s="57"/>
      <c r="K60" s="57"/>
    </row>
    <row r="61" spans="1:11" ht="15.75" customHeight="1" x14ac:dyDescent="0.25">
      <c r="A61" s="187"/>
      <c r="B61" s="189"/>
      <c r="C61" s="69" t="s">
        <v>177</v>
      </c>
      <c r="D61" s="151"/>
      <c r="E61" s="151"/>
      <c r="F61" s="151"/>
      <c r="G61" s="151"/>
      <c r="H61" s="151"/>
      <c r="I61" s="152"/>
      <c r="J61" s="57"/>
      <c r="K61" s="57"/>
    </row>
    <row r="62" spans="1:11" ht="15.75" customHeight="1" x14ac:dyDescent="0.25">
      <c r="A62" s="187"/>
      <c r="B62" s="189"/>
      <c r="C62" s="69" t="s">
        <v>178</v>
      </c>
      <c r="D62" s="151"/>
      <c r="E62" s="151"/>
      <c r="F62" s="151"/>
      <c r="G62" s="151"/>
      <c r="H62" s="151"/>
      <c r="I62" s="152"/>
      <c r="J62" s="57"/>
      <c r="K62" s="57"/>
    </row>
    <row r="63" spans="1:11" ht="15.75" customHeight="1" x14ac:dyDescent="0.25">
      <c r="A63" s="187"/>
      <c r="B63" s="189"/>
      <c r="C63" s="69" t="s">
        <v>179</v>
      </c>
      <c r="D63" s="151"/>
      <c r="E63" s="151"/>
      <c r="F63" s="151"/>
      <c r="G63" s="151"/>
      <c r="H63" s="151"/>
      <c r="I63" s="152"/>
      <c r="J63" s="57"/>
      <c r="K63" s="57"/>
    </row>
    <row r="64" spans="1:11" ht="15.75" customHeight="1" x14ac:dyDescent="0.25">
      <c r="A64" s="187"/>
      <c r="B64" s="189"/>
      <c r="C64" s="69" t="s">
        <v>180</v>
      </c>
      <c r="D64" s="151"/>
      <c r="E64" s="151"/>
      <c r="F64" s="151"/>
      <c r="G64" s="151"/>
      <c r="H64" s="151"/>
      <c r="I64" s="152"/>
      <c r="J64" s="57"/>
      <c r="K64" s="57"/>
    </row>
    <row r="65" spans="1:11" ht="15.75" customHeight="1" x14ac:dyDescent="0.25">
      <c r="A65" s="187"/>
      <c r="B65" s="189"/>
      <c r="C65" s="69" t="s">
        <v>181</v>
      </c>
      <c r="D65" s="151"/>
      <c r="E65" s="151"/>
      <c r="F65" s="151"/>
      <c r="G65" s="151"/>
      <c r="H65" s="151"/>
      <c r="I65" s="152"/>
      <c r="J65" s="57"/>
      <c r="K65" s="57"/>
    </row>
    <row r="66" spans="1:11" ht="15.75" customHeight="1" x14ac:dyDescent="0.25">
      <c r="A66" s="183"/>
      <c r="B66" s="185"/>
      <c r="C66" s="69" t="s">
        <v>182</v>
      </c>
      <c r="D66" s="151"/>
      <c r="E66" s="151"/>
      <c r="F66" s="151"/>
      <c r="G66" s="151"/>
      <c r="H66" s="151"/>
      <c r="I66" s="152"/>
      <c r="J66" s="57"/>
      <c r="K66" s="57"/>
    </row>
    <row r="67" spans="1:11" ht="15.75" customHeight="1" x14ac:dyDescent="0.25">
      <c r="A67" s="186">
        <v>10</v>
      </c>
      <c r="B67" s="188" t="s">
        <v>183</v>
      </c>
      <c r="C67" s="71" t="s">
        <v>184</v>
      </c>
      <c r="D67" s="153"/>
      <c r="E67" s="153"/>
      <c r="F67" s="153"/>
      <c r="G67" s="153"/>
      <c r="H67" s="153"/>
      <c r="I67" s="154"/>
      <c r="J67" s="57"/>
      <c r="K67" s="57"/>
    </row>
    <row r="68" spans="1:11" ht="15.75" customHeight="1" x14ac:dyDescent="0.25">
      <c r="A68" s="187"/>
      <c r="B68" s="189"/>
      <c r="C68" s="71" t="s">
        <v>185</v>
      </c>
      <c r="D68" s="153"/>
      <c r="E68" s="153"/>
      <c r="F68" s="153"/>
      <c r="G68" s="153"/>
      <c r="H68" s="153"/>
      <c r="I68" s="154"/>
      <c r="J68" s="57"/>
      <c r="K68" s="57"/>
    </row>
    <row r="69" spans="1:11" ht="15.75" customHeight="1" x14ac:dyDescent="0.25">
      <c r="A69" s="187"/>
      <c r="B69" s="189"/>
      <c r="C69" s="71" t="s">
        <v>186</v>
      </c>
      <c r="D69" s="153"/>
      <c r="E69" s="153"/>
      <c r="F69" s="153"/>
      <c r="G69" s="153"/>
      <c r="H69" s="153"/>
      <c r="I69" s="154"/>
      <c r="J69" s="57"/>
      <c r="K69" s="57"/>
    </row>
    <row r="70" spans="1:11" ht="15.75" customHeight="1" x14ac:dyDescent="0.25">
      <c r="A70" s="183"/>
      <c r="B70" s="185"/>
      <c r="C70" s="71" t="s">
        <v>182</v>
      </c>
      <c r="D70" s="153"/>
      <c r="E70" s="153"/>
      <c r="F70" s="153"/>
      <c r="G70" s="153"/>
      <c r="H70" s="153"/>
      <c r="I70" s="154"/>
      <c r="J70" s="57"/>
      <c r="K70" s="57"/>
    </row>
    <row r="71" spans="1:11" ht="15.75" customHeight="1" x14ac:dyDescent="0.25">
      <c r="A71" s="182">
        <v>11</v>
      </c>
      <c r="B71" s="184" t="s">
        <v>187</v>
      </c>
      <c r="C71" s="77" t="s">
        <v>188</v>
      </c>
      <c r="D71" s="151"/>
      <c r="E71" s="151"/>
      <c r="F71" s="151"/>
      <c r="G71" s="151"/>
      <c r="H71" s="151"/>
      <c r="I71" s="152"/>
      <c r="J71" s="57"/>
      <c r="K71" s="57"/>
    </row>
    <row r="72" spans="1:11" ht="15.75" customHeight="1" x14ac:dyDescent="0.25">
      <c r="A72" s="187"/>
      <c r="B72" s="189"/>
      <c r="C72" s="69" t="s">
        <v>189</v>
      </c>
      <c r="D72" s="151"/>
      <c r="E72" s="151"/>
      <c r="F72" s="151"/>
      <c r="G72" s="151"/>
      <c r="H72" s="151"/>
      <c r="I72" s="152"/>
      <c r="J72" s="57"/>
      <c r="K72" s="57"/>
    </row>
    <row r="73" spans="1:11" ht="15.75" customHeight="1" x14ac:dyDescent="0.25">
      <c r="A73" s="187"/>
      <c r="B73" s="189"/>
      <c r="C73" s="69" t="s">
        <v>190</v>
      </c>
      <c r="D73" s="151"/>
      <c r="E73" s="151"/>
      <c r="F73" s="151"/>
      <c r="G73" s="151"/>
      <c r="H73" s="151"/>
      <c r="I73" s="152"/>
      <c r="J73" s="57"/>
      <c r="K73" s="57"/>
    </row>
    <row r="74" spans="1:11" ht="15.75" customHeight="1" x14ac:dyDescent="0.25">
      <c r="A74" s="187"/>
      <c r="B74" s="189"/>
      <c r="C74" s="79" t="s">
        <v>191</v>
      </c>
      <c r="D74" s="151"/>
      <c r="E74" s="151"/>
      <c r="F74" s="151"/>
      <c r="G74" s="151"/>
      <c r="H74" s="151"/>
      <c r="I74" s="152"/>
      <c r="J74" s="57"/>
      <c r="K74" s="57"/>
    </row>
    <row r="75" spans="1:11" ht="15.75" customHeight="1" x14ac:dyDescent="0.25">
      <c r="A75" s="187"/>
      <c r="B75" s="189"/>
      <c r="C75" s="79" t="s">
        <v>192</v>
      </c>
      <c r="D75" s="151"/>
      <c r="E75" s="151"/>
      <c r="F75" s="151"/>
      <c r="G75" s="151"/>
      <c r="H75" s="151"/>
      <c r="I75" s="152"/>
      <c r="J75" s="57"/>
      <c r="K75" s="57"/>
    </row>
    <row r="76" spans="1:11" ht="15.75" customHeight="1" x14ac:dyDescent="0.25">
      <c r="A76" s="187"/>
      <c r="B76" s="189"/>
      <c r="C76" s="69" t="s">
        <v>193</v>
      </c>
      <c r="D76" s="151"/>
      <c r="E76" s="151"/>
      <c r="F76" s="151"/>
      <c r="G76" s="151"/>
      <c r="H76" s="151"/>
      <c r="I76" s="152"/>
      <c r="J76" s="57"/>
      <c r="K76" s="57"/>
    </row>
    <row r="77" spans="1:11" ht="15.75" customHeight="1" x14ac:dyDescent="0.25">
      <c r="A77" s="183"/>
      <c r="B77" s="185"/>
      <c r="C77" s="79" t="s">
        <v>182</v>
      </c>
      <c r="D77" s="151"/>
      <c r="E77" s="151"/>
      <c r="F77" s="151"/>
      <c r="G77" s="151"/>
      <c r="H77" s="151"/>
      <c r="I77" s="152"/>
      <c r="J77" s="57"/>
      <c r="K77" s="57"/>
    </row>
    <row r="78" spans="1:11" ht="15.75" customHeight="1" x14ac:dyDescent="0.25">
      <c r="A78" s="195" t="s">
        <v>33</v>
      </c>
      <c r="B78" s="196"/>
      <c r="C78" s="80" t="s">
        <v>97</v>
      </c>
      <c r="D78" s="81">
        <f t="shared" ref="D78:F78" si="0">SUM(D4:D77)</f>
        <v>3</v>
      </c>
      <c r="E78" s="81">
        <f t="shared" si="0"/>
        <v>0</v>
      </c>
      <c r="F78" s="81">
        <f t="shared" si="0"/>
        <v>0</v>
      </c>
      <c r="G78" s="81">
        <v>520</v>
      </c>
      <c r="H78" s="81">
        <f t="shared" ref="H78:I78" si="1">SUM(H4:H77)</f>
        <v>0</v>
      </c>
      <c r="I78" s="82">
        <f t="shared" si="1"/>
        <v>0</v>
      </c>
      <c r="J78" s="57"/>
      <c r="K78" s="57"/>
    </row>
    <row r="79" spans="1:11" ht="15.75" customHeight="1" x14ac:dyDescent="0.25">
      <c r="A79" s="57"/>
      <c r="B79" s="59"/>
      <c r="C79" s="57"/>
      <c r="D79" s="83"/>
      <c r="E79" s="57"/>
      <c r="F79" s="57"/>
      <c r="G79" s="83"/>
      <c r="H79" s="83"/>
      <c r="I79" s="83"/>
      <c r="J79" s="57"/>
      <c r="K79" s="57"/>
    </row>
    <row r="80" spans="1:11" ht="15.75" customHeight="1" x14ac:dyDescent="0.25">
      <c r="A80" s="59"/>
      <c r="B80" s="63" t="s">
        <v>115</v>
      </c>
      <c r="C80" s="84" t="s">
        <v>194</v>
      </c>
      <c r="D80" s="84" t="s">
        <v>103</v>
      </c>
      <c r="E80" s="84" t="s">
        <v>195</v>
      </c>
      <c r="F80" s="84" t="s">
        <v>196</v>
      </c>
      <c r="G80" s="85" t="s">
        <v>12</v>
      </c>
      <c r="H80" s="57"/>
      <c r="I80" s="57"/>
      <c r="J80" s="57"/>
      <c r="K80" s="57"/>
    </row>
    <row r="81" spans="1:11" ht="15.75" customHeight="1" x14ac:dyDescent="0.25">
      <c r="A81" s="57"/>
      <c r="B81" s="86">
        <v>1</v>
      </c>
      <c r="C81" s="87" t="s">
        <v>197</v>
      </c>
      <c r="D81" s="151">
        <v>16</v>
      </c>
      <c r="E81" s="151">
        <v>2</v>
      </c>
      <c r="F81" s="151">
        <v>2</v>
      </c>
      <c r="G81" s="152"/>
      <c r="H81" s="57"/>
      <c r="I81" s="57"/>
      <c r="J81" s="57"/>
      <c r="K81" s="57"/>
    </row>
    <row r="82" spans="1:11" ht="15.75" customHeight="1" x14ac:dyDescent="0.25">
      <c r="A82" s="57"/>
      <c r="B82" s="86">
        <v>2</v>
      </c>
      <c r="C82" s="88" t="s">
        <v>198</v>
      </c>
      <c r="D82" s="151"/>
      <c r="E82" s="151"/>
      <c r="F82" s="151"/>
      <c r="G82" s="152"/>
      <c r="H82" s="57"/>
      <c r="I82" s="57"/>
      <c r="J82" s="57"/>
      <c r="K82" s="57"/>
    </row>
    <row r="83" spans="1:11" ht="15.75" customHeight="1" x14ac:dyDescent="0.25">
      <c r="A83" s="57"/>
      <c r="B83" s="86">
        <v>3</v>
      </c>
      <c r="C83" s="88" t="s">
        <v>199</v>
      </c>
      <c r="D83" s="151"/>
      <c r="E83" s="151"/>
      <c r="F83" s="151"/>
      <c r="G83" s="152"/>
      <c r="H83" s="57"/>
      <c r="I83" s="57"/>
      <c r="J83" s="57"/>
      <c r="K83" s="57"/>
    </row>
    <row r="84" spans="1:11" ht="15.75" customHeight="1" x14ac:dyDescent="0.25">
      <c r="A84" s="57"/>
      <c r="B84" s="86">
        <v>4</v>
      </c>
      <c r="C84" s="88" t="s">
        <v>200</v>
      </c>
      <c r="D84" s="151"/>
      <c r="E84" s="151"/>
      <c r="F84" s="151"/>
      <c r="G84" s="152"/>
      <c r="H84" s="57"/>
      <c r="I84" s="57"/>
      <c r="J84" s="57"/>
      <c r="K84" s="57"/>
    </row>
    <row r="85" spans="1:11" ht="15.75" customHeight="1" x14ac:dyDescent="0.25">
      <c r="A85" s="57"/>
      <c r="B85" s="86">
        <v>5</v>
      </c>
      <c r="C85" s="88" t="s">
        <v>201</v>
      </c>
      <c r="D85" s="151">
        <v>7</v>
      </c>
      <c r="E85" s="151">
        <v>1</v>
      </c>
      <c r="F85" s="151"/>
      <c r="G85" s="152"/>
      <c r="H85" s="57"/>
      <c r="I85" s="57"/>
      <c r="J85" s="57"/>
      <c r="K85" s="57"/>
    </row>
    <row r="86" spans="1:11" ht="15.75" customHeight="1" x14ac:dyDescent="0.25">
      <c r="A86" s="57"/>
      <c r="B86" s="86">
        <v>6</v>
      </c>
      <c r="C86" s="88" t="s">
        <v>202</v>
      </c>
      <c r="D86" s="151">
        <v>2</v>
      </c>
      <c r="E86" s="151"/>
      <c r="F86" s="151"/>
      <c r="G86" s="152"/>
      <c r="H86" s="57"/>
      <c r="I86" s="57"/>
      <c r="J86" s="57"/>
      <c r="K86" s="57"/>
    </row>
    <row r="87" spans="1:11" ht="15.75" customHeight="1" x14ac:dyDescent="0.25">
      <c r="A87" s="57"/>
      <c r="B87" s="86">
        <v>7</v>
      </c>
      <c r="C87" s="57" t="s">
        <v>203</v>
      </c>
      <c r="D87" s="151"/>
      <c r="E87" s="151"/>
      <c r="F87" s="151"/>
      <c r="G87" s="152"/>
      <c r="H87" s="57"/>
      <c r="I87" s="57"/>
      <c r="J87" s="57"/>
      <c r="K87" s="57"/>
    </row>
    <row r="88" spans="1:11" ht="15.75" customHeight="1" x14ac:dyDescent="0.25">
      <c r="A88" s="57"/>
      <c r="B88" s="86">
        <v>8</v>
      </c>
      <c r="C88" s="88" t="s">
        <v>204</v>
      </c>
      <c r="D88" s="151"/>
      <c r="E88" s="151"/>
      <c r="F88" s="151"/>
      <c r="G88" s="152"/>
      <c r="H88" s="57"/>
      <c r="I88" s="57"/>
      <c r="J88" s="57"/>
      <c r="K88" s="57"/>
    </row>
    <row r="89" spans="1:11" ht="15.75" customHeight="1" x14ac:dyDescent="0.25">
      <c r="A89" s="57"/>
      <c r="B89" s="86">
        <v>9</v>
      </c>
      <c r="C89" s="88" t="s">
        <v>205</v>
      </c>
      <c r="D89" s="151"/>
      <c r="E89" s="151"/>
      <c r="F89" s="151"/>
      <c r="G89" s="152"/>
      <c r="H89" s="57"/>
      <c r="I89" s="57"/>
      <c r="J89" s="57"/>
      <c r="K89" s="57"/>
    </row>
    <row r="90" spans="1:11" ht="14.25" customHeight="1" x14ac:dyDescent="0.25">
      <c r="A90" s="57"/>
      <c r="B90" s="86">
        <v>10</v>
      </c>
      <c r="C90" s="88" t="s">
        <v>206</v>
      </c>
      <c r="D90" s="151"/>
      <c r="E90" s="151"/>
      <c r="F90" s="151"/>
      <c r="G90" s="152"/>
      <c r="H90" s="57"/>
      <c r="I90" s="57"/>
      <c r="J90" s="57"/>
      <c r="K90" s="57"/>
    </row>
    <row r="91" spans="1:11" ht="15.75" customHeight="1" x14ac:dyDescent="0.25">
      <c r="A91" s="57"/>
      <c r="B91" s="86">
        <v>11</v>
      </c>
      <c r="C91" s="88" t="s">
        <v>207</v>
      </c>
      <c r="D91" s="151"/>
      <c r="E91" s="151"/>
      <c r="F91" s="151"/>
      <c r="G91" s="152"/>
      <c r="H91" s="57"/>
      <c r="I91" s="57"/>
      <c r="J91" s="57"/>
      <c r="K91" s="57"/>
    </row>
    <row r="92" spans="1:11" ht="15.75" customHeight="1" x14ac:dyDescent="0.25">
      <c r="A92" s="57"/>
      <c r="B92" s="86">
        <v>12</v>
      </c>
      <c r="C92" s="88" t="s">
        <v>208</v>
      </c>
      <c r="D92" s="151"/>
      <c r="E92" s="151"/>
      <c r="F92" s="151"/>
      <c r="G92" s="152"/>
      <c r="H92" s="57"/>
      <c r="I92" s="57"/>
      <c r="J92" s="57"/>
      <c r="K92" s="57"/>
    </row>
    <row r="93" spans="1:11" ht="15.75" customHeight="1" x14ac:dyDescent="0.25">
      <c r="A93" s="59"/>
      <c r="B93" s="86">
        <v>13</v>
      </c>
      <c r="C93" s="57" t="s">
        <v>209</v>
      </c>
      <c r="D93" s="151"/>
      <c r="E93" s="151"/>
      <c r="F93" s="151"/>
      <c r="G93" s="152"/>
      <c r="H93" s="57"/>
      <c r="I93" s="57"/>
      <c r="J93" s="57"/>
      <c r="K93" s="57"/>
    </row>
    <row r="94" spans="1:11" ht="15.75" customHeight="1" x14ac:dyDescent="0.25">
      <c r="A94" s="57"/>
      <c r="B94" s="192" t="s">
        <v>33</v>
      </c>
      <c r="C94" s="193"/>
      <c r="D94" s="89">
        <f t="shared" ref="D94:G94" si="2">SUM(D81:D93)</f>
        <v>25</v>
      </c>
      <c r="E94" s="89">
        <f t="shared" si="2"/>
        <v>3</v>
      </c>
      <c r="F94" s="89">
        <f t="shared" si="2"/>
        <v>2</v>
      </c>
      <c r="G94" s="90">
        <f t="shared" si="2"/>
        <v>0</v>
      </c>
      <c r="H94" s="57"/>
      <c r="I94" s="57"/>
      <c r="J94" s="57"/>
      <c r="K94" s="57"/>
    </row>
    <row r="95" spans="1:11" ht="15.75" customHeight="1" x14ac:dyDescent="0.25">
      <c r="A95" s="57"/>
      <c r="B95" s="59"/>
      <c r="C95" s="57"/>
      <c r="D95" s="83"/>
      <c r="E95" s="57"/>
      <c r="F95" s="57"/>
      <c r="G95" s="57"/>
      <c r="H95" s="83"/>
      <c r="I95" s="57"/>
      <c r="J95" s="57"/>
      <c r="K95" s="57"/>
    </row>
    <row r="96" spans="1:11" ht="15.75" customHeight="1" x14ac:dyDescent="0.25">
      <c r="A96" s="57"/>
      <c r="B96" s="198" t="s">
        <v>210</v>
      </c>
      <c r="C96" s="161"/>
      <c r="D96" s="161"/>
      <c r="E96" s="161"/>
      <c r="F96" s="161"/>
      <c r="G96" s="161"/>
      <c r="H96" s="162"/>
      <c r="I96" s="57"/>
      <c r="J96" s="57"/>
      <c r="K96" s="57"/>
    </row>
    <row r="97" spans="1:11" ht="15.75" customHeight="1" x14ac:dyDescent="0.25">
      <c r="A97" s="57"/>
      <c r="B97" s="63" t="s">
        <v>115</v>
      </c>
      <c r="C97" s="84" t="s">
        <v>211</v>
      </c>
      <c r="D97" s="85" t="s">
        <v>33</v>
      </c>
      <c r="E97" s="91" t="s">
        <v>35</v>
      </c>
      <c r="F97" s="92" t="s">
        <v>33</v>
      </c>
      <c r="G97" s="92" t="s">
        <v>212</v>
      </c>
      <c r="H97" s="92" t="s">
        <v>33</v>
      </c>
      <c r="I97" s="76"/>
      <c r="J97" s="57"/>
      <c r="K97" s="57"/>
    </row>
    <row r="98" spans="1:11" ht="15.75" customHeight="1" x14ac:dyDescent="0.25">
      <c r="A98" s="57"/>
      <c r="B98" s="86">
        <v>1</v>
      </c>
      <c r="C98" s="93" t="s">
        <v>213</v>
      </c>
      <c r="D98" s="152">
        <v>19</v>
      </c>
      <c r="E98" s="94" t="s">
        <v>35</v>
      </c>
      <c r="F98" s="152"/>
      <c r="G98" s="95" t="s">
        <v>212</v>
      </c>
      <c r="H98" s="70"/>
      <c r="I98" s="76"/>
      <c r="J98" s="57"/>
      <c r="K98" s="57"/>
    </row>
    <row r="99" spans="1:11" ht="15.75" customHeight="1" x14ac:dyDescent="0.25">
      <c r="A99" s="59"/>
      <c r="B99" s="86">
        <v>2</v>
      </c>
      <c r="C99" s="93" t="s">
        <v>214</v>
      </c>
      <c r="D99" s="152"/>
      <c r="E99" s="94" t="s">
        <v>215</v>
      </c>
      <c r="F99" s="152"/>
      <c r="G99" s="95" t="s">
        <v>216</v>
      </c>
      <c r="H99" s="70"/>
      <c r="I99" s="76"/>
      <c r="J99" s="57"/>
      <c r="K99" s="57"/>
    </row>
    <row r="100" spans="1:11" ht="15.75" customHeight="1" x14ac:dyDescent="0.25">
      <c r="A100" s="57"/>
      <c r="B100" s="86">
        <v>3</v>
      </c>
      <c r="C100" s="93" t="s">
        <v>217</v>
      </c>
      <c r="D100" s="152"/>
      <c r="E100" s="94" t="s">
        <v>218</v>
      </c>
      <c r="F100" s="152"/>
      <c r="G100" s="95" t="s">
        <v>219</v>
      </c>
      <c r="H100" s="70"/>
      <c r="I100" s="76"/>
      <c r="J100" s="57"/>
      <c r="K100" s="57"/>
    </row>
    <row r="101" spans="1:11" ht="15.75" customHeight="1" x14ac:dyDescent="0.25">
      <c r="A101" s="57"/>
      <c r="B101" s="86">
        <v>4</v>
      </c>
      <c r="C101" s="93" t="s">
        <v>220</v>
      </c>
      <c r="D101" s="152"/>
      <c r="E101" s="94" t="s">
        <v>40</v>
      </c>
      <c r="F101" s="152"/>
      <c r="G101" s="95" t="s">
        <v>221</v>
      </c>
      <c r="H101" s="70"/>
      <c r="I101" s="76"/>
      <c r="J101" s="57"/>
      <c r="K101" s="57"/>
    </row>
    <row r="102" spans="1:11" ht="15.75" customHeight="1" x14ac:dyDescent="0.25">
      <c r="A102" s="57"/>
      <c r="B102" s="86">
        <v>5</v>
      </c>
      <c r="C102" s="93" t="s">
        <v>222</v>
      </c>
      <c r="D102" s="152"/>
      <c r="E102" s="94" t="s">
        <v>223</v>
      </c>
      <c r="F102" s="152"/>
      <c r="G102" s="95" t="s">
        <v>224</v>
      </c>
      <c r="H102" s="70"/>
      <c r="I102" s="76"/>
      <c r="J102" s="57"/>
      <c r="K102" s="57"/>
    </row>
    <row r="103" spans="1:11" ht="15.75" customHeight="1" x14ac:dyDescent="0.25">
      <c r="A103" s="57"/>
      <c r="B103" s="86">
        <v>6</v>
      </c>
      <c r="C103" s="93" t="s">
        <v>225</v>
      </c>
      <c r="D103" s="152"/>
      <c r="E103" s="94" t="s">
        <v>226</v>
      </c>
      <c r="F103" s="152"/>
      <c r="G103" s="95" t="s">
        <v>227</v>
      </c>
      <c r="H103" s="70"/>
      <c r="I103" s="76"/>
      <c r="J103" s="57"/>
      <c r="K103" s="57"/>
    </row>
    <row r="104" spans="1:11" ht="15.75" customHeight="1" x14ac:dyDescent="0.25">
      <c r="A104" s="57"/>
      <c r="B104" s="86">
        <v>7</v>
      </c>
      <c r="C104" s="93" t="s">
        <v>228</v>
      </c>
      <c r="D104" s="152"/>
      <c r="E104" s="94" t="s">
        <v>229</v>
      </c>
      <c r="F104" s="152"/>
      <c r="G104" s="95" t="s">
        <v>230</v>
      </c>
      <c r="H104" s="70"/>
      <c r="I104" s="76"/>
      <c r="J104" s="57"/>
      <c r="K104" s="57"/>
    </row>
    <row r="105" spans="1:11" ht="15.75" customHeight="1" x14ac:dyDescent="0.25">
      <c r="A105" s="57"/>
      <c r="B105" s="86">
        <v>8</v>
      </c>
      <c r="C105" s="93" t="s">
        <v>231</v>
      </c>
      <c r="D105" s="152"/>
      <c r="E105" s="96" t="s">
        <v>232</v>
      </c>
      <c r="F105" s="152"/>
      <c r="G105" s="97" t="s">
        <v>233</v>
      </c>
      <c r="H105" s="70"/>
      <c r="I105" s="76"/>
      <c r="J105" s="57"/>
      <c r="K105" s="57"/>
    </row>
    <row r="106" spans="1:11" ht="15.75" customHeight="1" x14ac:dyDescent="0.25">
      <c r="A106" s="57"/>
      <c r="B106" s="86">
        <v>9</v>
      </c>
      <c r="C106" s="93" t="s">
        <v>234</v>
      </c>
      <c r="D106" s="152"/>
      <c r="E106" s="98" t="s">
        <v>33</v>
      </c>
      <c r="F106" s="99">
        <f>SUM(F98:F105)</f>
        <v>0</v>
      </c>
      <c r="G106" s="100" t="s">
        <v>33</v>
      </c>
      <c r="H106" s="99">
        <f>SUM(H98:H105)</f>
        <v>0</v>
      </c>
      <c r="I106" s="76"/>
      <c r="J106" s="57"/>
      <c r="K106" s="57"/>
    </row>
    <row r="107" spans="1:11" ht="15.75" customHeight="1" x14ac:dyDescent="0.25">
      <c r="A107" s="57"/>
      <c r="B107" s="86">
        <v>10</v>
      </c>
      <c r="C107" s="93" t="s">
        <v>235</v>
      </c>
      <c r="D107" s="152"/>
      <c r="E107" s="57"/>
      <c r="F107" s="57"/>
      <c r="G107" s="57"/>
      <c r="H107" s="83"/>
      <c r="I107" s="76"/>
      <c r="J107" s="57"/>
      <c r="K107" s="57"/>
    </row>
    <row r="108" spans="1:11" ht="15.75" customHeight="1" x14ac:dyDescent="0.25">
      <c r="A108" s="57"/>
      <c r="B108" s="86">
        <v>11</v>
      </c>
      <c r="C108" s="93" t="s">
        <v>236</v>
      </c>
      <c r="D108" s="152"/>
      <c r="E108" s="57"/>
      <c r="F108" s="57"/>
      <c r="G108" s="57"/>
      <c r="H108" s="83"/>
      <c r="I108" s="76"/>
      <c r="J108" s="57"/>
      <c r="K108" s="57"/>
    </row>
    <row r="109" spans="1:11" ht="15.75" customHeight="1" x14ac:dyDescent="0.25">
      <c r="A109" s="57"/>
      <c r="B109" s="86">
        <v>12</v>
      </c>
      <c r="C109" s="93" t="s">
        <v>237</v>
      </c>
      <c r="D109" s="152"/>
      <c r="E109" s="57"/>
      <c r="F109" s="57"/>
      <c r="G109" s="57"/>
      <c r="H109" s="83"/>
      <c r="I109" s="76"/>
      <c r="J109" s="57"/>
      <c r="K109" s="57"/>
    </row>
    <row r="110" spans="1:11" ht="15.75" customHeight="1" x14ac:dyDescent="0.25">
      <c r="A110" s="57"/>
      <c r="B110" s="195" t="s">
        <v>33</v>
      </c>
      <c r="C110" s="196"/>
      <c r="D110" s="101">
        <f>SUM(D98:D109)</f>
        <v>19</v>
      </c>
      <c r="E110" s="57"/>
      <c r="F110" s="57"/>
      <c r="G110" s="57"/>
      <c r="H110" s="83"/>
      <c r="I110" s="76"/>
      <c r="J110" s="57"/>
      <c r="K110" s="57"/>
    </row>
    <row r="111" spans="1:11" ht="15.75" customHeight="1" x14ac:dyDescent="0.25">
      <c r="A111" s="57"/>
      <c r="B111" s="83"/>
      <c r="C111" s="57"/>
      <c r="D111" s="57"/>
      <c r="E111" s="57"/>
      <c r="F111" s="57"/>
      <c r="G111" s="57"/>
      <c r="H111" s="83"/>
      <c r="I111" s="76"/>
      <c r="J111" s="57"/>
      <c r="K111" s="57"/>
    </row>
    <row r="112" spans="1:11" ht="15.75" customHeight="1" x14ac:dyDescent="0.25">
      <c r="A112" s="57"/>
      <c r="B112" s="92" t="s">
        <v>115</v>
      </c>
      <c r="C112" s="92" t="s">
        <v>238</v>
      </c>
      <c r="D112" s="92" t="s">
        <v>33</v>
      </c>
      <c r="E112" s="57"/>
      <c r="F112" s="57"/>
      <c r="G112" s="57"/>
      <c r="H112" s="83"/>
      <c r="I112" s="76"/>
      <c r="J112" s="57"/>
      <c r="K112" s="57"/>
    </row>
    <row r="113" spans="1:11" ht="15.75" customHeight="1" x14ac:dyDescent="0.25">
      <c r="A113" s="57"/>
      <c r="B113" s="102">
        <v>1</v>
      </c>
      <c r="C113" s="103" t="s">
        <v>239</v>
      </c>
      <c r="D113" s="70"/>
      <c r="E113" s="57"/>
      <c r="F113" s="57"/>
      <c r="G113" s="57"/>
      <c r="H113" s="83"/>
      <c r="I113" s="76"/>
      <c r="J113" s="57"/>
      <c r="K113" s="57"/>
    </row>
    <row r="114" spans="1:11" ht="15.75" customHeight="1" x14ac:dyDescent="0.25">
      <c r="A114" s="57"/>
      <c r="B114" s="102">
        <v>2</v>
      </c>
      <c r="C114" s="103" t="s">
        <v>240</v>
      </c>
      <c r="D114" s="70"/>
      <c r="E114" s="57"/>
      <c r="F114" s="57"/>
      <c r="G114" s="57"/>
      <c r="H114" s="83"/>
      <c r="I114" s="76"/>
      <c r="J114" s="57"/>
      <c r="K114" s="57"/>
    </row>
    <row r="115" spans="1:11" ht="15.75" customHeight="1" x14ac:dyDescent="0.25">
      <c r="A115" s="57"/>
      <c r="B115" s="102">
        <v>3</v>
      </c>
      <c r="C115" s="103" t="s">
        <v>241</v>
      </c>
      <c r="D115" s="70"/>
      <c r="E115" s="57"/>
      <c r="F115" s="57"/>
      <c r="G115" s="57"/>
      <c r="H115" s="83"/>
      <c r="I115" s="76"/>
      <c r="J115" s="57"/>
      <c r="K115" s="57"/>
    </row>
    <row r="116" spans="1:11" ht="15.75" customHeight="1" x14ac:dyDescent="0.25">
      <c r="A116" s="57"/>
      <c r="B116" s="104">
        <v>4</v>
      </c>
      <c r="C116" s="105" t="s">
        <v>242</v>
      </c>
      <c r="D116" s="70"/>
      <c r="E116" s="57"/>
      <c r="F116" s="57"/>
      <c r="G116" s="57"/>
      <c r="H116" s="83"/>
      <c r="I116" s="76"/>
      <c r="J116" s="57"/>
      <c r="K116" s="57"/>
    </row>
    <row r="117" spans="1:11" ht="15.75" customHeight="1" x14ac:dyDescent="0.25">
      <c r="A117" s="106"/>
      <c r="B117" s="194" t="s">
        <v>33</v>
      </c>
      <c r="C117" s="162"/>
      <c r="D117" s="99">
        <f>SUM(D113:D116)</f>
        <v>0</v>
      </c>
      <c r="E117" s="57"/>
      <c r="F117" s="57"/>
      <c r="G117" s="57"/>
      <c r="H117" s="83"/>
      <c r="I117" s="76"/>
      <c r="J117" s="57"/>
      <c r="K117" s="57"/>
    </row>
    <row r="118" spans="1:11" ht="15.75" customHeight="1" x14ac:dyDescent="0.25">
      <c r="A118" s="57"/>
      <c r="B118" s="59"/>
      <c r="C118" s="57"/>
      <c r="D118" s="83"/>
      <c r="E118" s="57"/>
      <c r="F118" s="57"/>
      <c r="G118" s="57"/>
      <c r="H118" s="83"/>
      <c r="I118" s="76"/>
      <c r="J118" s="57"/>
      <c r="K118" s="57"/>
    </row>
    <row r="119" spans="1:11" ht="15.75" customHeight="1" x14ac:dyDescent="0.25">
      <c r="A119" s="59"/>
      <c r="B119" s="63" t="s">
        <v>115</v>
      </c>
      <c r="C119" s="84" t="s">
        <v>135</v>
      </c>
      <c r="D119" s="85" t="s">
        <v>118</v>
      </c>
      <c r="E119" s="57"/>
      <c r="F119" s="63" t="s">
        <v>115</v>
      </c>
      <c r="G119" s="84" t="s">
        <v>135</v>
      </c>
      <c r="H119" s="85" t="s">
        <v>118</v>
      </c>
      <c r="I119" s="76"/>
      <c r="J119" s="57"/>
      <c r="K119" s="57"/>
    </row>
    <row r="120" spans="1:11" ht="15.75" customHeight="1" x14ac:dyDescent="0.25">
      <c r="A120" s="57"/>
      <c r="B120" s="86">
        <v>1</v>
      </c>
      <c r="C120" s="88" t="s">
        <v>243</v>
      </c>
      <c r="D120" s="152">
        <v>8</v>
      </c>
      <c r="E120" s="57"/>
      <c r="F120" s="86">
        <v>1</v>
      </c>
      <c r="G120" s="88" t="s">
        <v>244</v>
      </c>
      <c r="H120" s="152">
        <v>15</v>
      </c>
      <c r="I120" s="83"/>
      <c r="J120" s="57"/>
      <c r="K120" s="57"/>
    </row>
    <row r="121" spans="1:11" ht="15.75" customHeight="1" x14ac:dyDescent="0.25">
      <c r="A121" s="57"/>
      <c r="B121" s="86">
        <v>2</v>
      </c>
      <c r="C121" s="88" t="s">
        <v>245</v>
      </c>
      <c r="D121" s="152">
        <v>2</v>
      </c>
      <c r="E121" s="57"/>
      <c r="F121" s="86">
        <v>2</v>
      </c>
      <c r="G121" s="88" t="s">
        <v>246</v>
      </c>
      <c r="H121" s="152">
        <v>4</v>
      </c>
      <c r="I121" s="83"/>
      <c r="J121" s="57"/>
      <c r="K121" s="57"/>
    </row>
    <row r="122" spans="1:11" ht="15.75" customHeight="1" x14ac:dyDescent="0.25">
      <c r="A122" s="57"/>
      <c r="B122" s="107">
        <v>3</v>
      </c>
      <c r="C122" s="108" t="s">
        <v>247</v>
      </c>
      <c r="D122" s="152"/>
      <c r="E122" s="57"/>
      <c r="F122" s="107">
        <v>3</v>
      </c>
      <c r="G122" s="109" t="s">
        <v>248</v>
      </c>
      <c r="H122" s="152"/>
      <c r="I122" s="83"/>
      <c r="J122" s="57"/>
      <c r="K122" s="57"/>
    </row>
    <row r="123" spans="1:11" ht="15.75" customHeight="1" x14ac:dyDescent="0.25">
      <c r="A123" s="57"/>
      <c r="B123" s="194" t="s">
        <v>33</v>
      </c>
      <c r="C123" s="193"/>
      <c r="D123" s="90">
        <f>SUM(D120:D122)</f>
        <v>10</v>
      </c>
      <c r="E123" s="57"/>
      <c r="F123" s="192" t="s">
        <v>33</v>
      </c>
      <c r="G123" s="193"/>
      <c r="H123" s="90">
        <f>SUM(H120:H122)</f>
        <v>19</v>
      </c>
      <c r="I123" s="83"/>
      <c r="J123" s="57"/>
      <c r="K123" s="57"/>
    </row>
    <row r="124" spans="1:11" ht="15.75" customHeight="1" x14ac:dyDescent="0.25">
      <c r="A124" s="57"/>
      <c r="B124" s="83"/>
      <c r="C124" s="57"/>
      <c r="D124" s="57" t="b">
        <f>IF(D123=D143,TRUE)</f>
        <v>1</v>
      </c>
      <c r="E124" s="57"/>
      <c r="F124" s="57"/>
      <c r="G124" s="57"/>
      <c r="H124" s="83"/>
      <c r="I124" s="83"/>
      <c r="J124" s="57"/>
      <c r="K124" s="57"/>
    </row>
    <row r="125" spans="1:11" ht="15.75" customHeight="1" x14ac:dyDescent="0.25">
      <c r="A125" s="57"/>
      <c r="B125" s="63" t="s">
        <v>115</v>
      </c>
      <c r="C125" s="84" t="s">
        <v>135</v>
      </c>
      <c r="D125" s="84" t="s">
        <v>118</v>
      </c>
      <c r="E125" s="84" t="s">
        <v>249</v>
      </c>
      <c r="F125" s="84" t="s">
        <v>250</v>
      </c>
      <c r="G125" s="84" t="s">
        <v>251</v>
      </c>
      <c r="H125" s="85" t="s">
        <v>65</v>
      </c>
      <c r="I125" s="83"/>
      <c r="J125" s="57"/>
      <c r="K125" s="57"/>
    </row>
    <row r="126" spans="1:11" ht="15.75" customHeight="1" x14ac:dyDescent="0.25">
      <c r="A126" s="106"/>
      <c r="B126" s="86">
        <v>1</v>
      </c>
      <c r="C126" s="88" t="s">
        <v>252</v>
      </c>
      <c r="D126" s="151"/>
      <c r="E126" s="151"/>
      <c r="F126" s="151"/>
      <c r="G126" s="151"/>
      <c r="H126" s="152"/>
      <c r="I126" s="59"/>
      <c r="J126" s="106"/>
      <c r="K126" s="57"/>
    </row>
    <row r="127" spans="1:11" ht="15.75" customHeight="1" x14ac:dyDescent="0.25">
      <c r="A127" s="57"/>
      <c r="B127" s="86">
        <v>2</v>
      </c>
      <c r="C127" s="88" t="s">
        <v>253</v>
      </c>
      <c r="D127" s="151"/>
      <c r="E127" s="151"/>
      <c r="F127" s="151"/>
      <c r="G127" s="151"/>
      <c r="H127" s="152"/>
      <c r="I127" s="83"/>
      <c r="J127" s="57"/>
      <c r="K127" s="57"/>
    </row>
    <row r="128" spans="1:11" ht="15.75" customHeight="1" x14ac:dyDescent="0.25">
      <c r="A128" s="59"/>
      <c r="B128" s="86">
        <v>3</v>
      </c>
      <c r="C128" s="88" t="s">
        <v>254</v>
      </c>
      <c r="D128" s="151"/>
      <c r="E128" s="151"/>
      <c r="F128" s="151"/>
      <c r="G128" s="151"/>
      <c r="H128" s="152"/>
      <c r="I128" s="83"/>
      <c r="J128" s="57"/>
      <c r="K128" s="57"/>
    </row>
    <row r="129" spans="1:11" ht="15.75" customHeight="1" x14ac:dyDescent="0.25">
      <c r="A129" s="57"/>
      <c r="B129" s="86">
        <v>4</v>
      </c>
      <c r="C129" s="88" t="s">
        <v>255</v>
      </c>
      <c r="D129" s="151">
        <v>1</v>
      </c>
      <c r="E129" s="151"/>
      <c r="F129" s="151"/>
      <c r="G129" s="151"/>
      <c r="H129" s="152"/>
      <c r="I129" s="83"/>
      <c r="J129" s="57"/>
      <c r="K129" s="57"/>
    </row>
    <row r="130" spans="1:11" ht="15.75" customHeight="1" x14ac:dyDescent="0.25">
      <c r="A130" s="57"/>
      <c r="B130" s="86">
        <v>5</v>
      </c>
      <c r="C130" s="88" t="s">
        <v>256</v>
      </c>
      <c r="D130" s="151">
        <v>1</v>
      </c>
      <c r="E130" s="151"/>
      <c r="F130" s="151"/>
      <c r="G130" s="151"/>
      <c r="H130" s="152"/>
      <c r="I130" s="83"/>
      <c r="J130" s="57"/>
      <c r="K130" s="57"/>
    </row>
    <row r="131" spans="1:11" ht="15.75" customHeight="1" x14ac:dyDescent="0.25">
      <c r="A131" s="57"/>
      <c r="B131" s="86">
        <v>6</v>
      </c>
      <c r="C131" s="88" t="s">
        <v>257</v>
      </c>
      <c r="D131" s="151"/>
      <c r="E131" s="151"/>
      <c r="F131" s="151"/>
      <c r="G131" s="151"/>
      <c r="H131" s="152"/>
      <c r="I131" s="83"/>
      <c r="J131" s="57"/>
      <c r="K131" s="57"/>
    </row>
    <row r="132" spans="1:11" ht="15.75" customHeight="1" x14ac:dyDescent="0.25">
      <c r="A132" s="57"/>
      <c r="B132" s="86">
        <v>7</v>
      </c>
      <c r="C132" s="88" t="s">
        <v>258</v>
      </c>
      <c r="D132" s="151"/>
      <c r="E132" s="151"/>
      <c r="F132" s="151"/>
      <c r="G132" s="151"/>
      <c r="H132" s="152"/>
      <c r="I132" s="83"/>
      <c r="J132" s="57"/>
      <c r="K132" s="57"/>
    </row>
    <row r="133" spans="1:11" ht="15.75" customHeight="1" x14ac:dyDescent="0.25">
      <c r="A133" s="57"/>
      <c r="B133" s="86">
        <v>8</v>
      </c>
      <c r="C133" s="88" t="s">
        <v>259</v>
      </c>
      <c r="D133" s="151"/>
      <c r="E133" s="151"/>
      <c r="F133" s="151"/>
      <c r="G133" s="151"/>
      <c r="H133" s="152"/>
      <c r="I133" s="57"/>
      <c r="J133" s="57"/>
      <c r="K133" s="57"/>
    </row>
    <row r="134" spans="1:11" ht="15.75" customHeight="1" x14ac:dyDescent="0.25">
      <c r="A134" s="59"/>
      <c r="B134" s="86">
        <v>9</v>
      </c>
      <c r="C134" s="88" t="s">
        <v>260</v>
      </c>
      <c r="D134" s="151">
        <v>3</v>
      </c>
      <c r="E134" s="151"/>
      <c r="F134" s="151"/>
      <c r="G134" s="151"/>
      <c r="H134" s="152"/>
      <c r="I134" s="83"/>
      <c r="J134" s="57"/>
      <c r="K134" s="57"/>
    </row>
    <row r="135" spans="1:11" ht="15.75" customHeight="1" x14ac:dyDescent="0.25">
      <c r="A135" s="57"/>
      <c r="B135" s="86">
        <v>10</v>
      </c>
      <c r="C135" s="88" t="s">
        <v>261</v>
      </c>
      <c r="D135" s="151"/>
      <c r="E135" s="151"/>
      <c r="F135" s="151"/>
      <c r="G135" s="151"/>
      <c r="H135" s="152"/>
      <c r="I135" s="83"/>
      <c r="J135" s="57"/>
      <c r="K135" s="57"/>
    </row>
    <row r="136" spans="1:11" ht="15.75" customHeight="1" x14ac:dyDescent="0.25">
      <c r="A136" s="57"/>
      <c r="B136" s="86">
        <v>11</v>
      </c>
      <c r="C136" s="88" t="s">
        <v>262</v>
      </c>
      <c r="D136" s="151">
        <v>4</v>
      </c>
      <c r="E136" s="151"/>
      <c r="F136" s="151"/>
      <c r="G136" s="151"/>
      <c r="H136" s="152"/>
      <c r="I136" s="83"/>
      <c r="J136" s="57"/>
      <c r="K136" s="57"/>
    </row>
    <row r="137" spans="1:11" ht="15.75" customHeight="1" x14ac:dyDescent="0.25">
      <c r="A137" s="57"/>
      <c r="B137" s="86">
        <v>12</v>
      </c>
      <c r="C137" s="88" t="s">
        <v>263</v>
      </c>
      <c r="D137" s="151">
        <v>1</v>
      </c>
      <c r="E137" s="151"/>
      <c r="F137" s="151"/>
      <c r="G137" s="151"/>
      <c r="H137" s="152"/>
      <c r="I137" s="83"/>
      <c r="J137" s="57"/>
      <c r="K137" s="57"/>
    </row>
    <row r="138" spans="1:11" ht="15.75" customHeight="1" x14ac:dyDescent="0.25">
      <c r="A138" s="57"/>
      <c r="B138" s="86">
        <v>13</v>
      </c>
      <c r="C138" s="88" t="s">
        <v>264</v>
      </c>
      <c r="D138" s="151"/>
      <c r="E138" s="151"/>
      <c r="F138" s="151"/>
      <c r="G138" s="151"/>
      <c r="H138" s="152"/>
      <c r="I138" s="83"/>
      <c r="J138" s="57"/>
      <c r="K138" s="57"/>
    </row>
    <row r="139" spans="1:11" ht="15.75" customHeight="1" x14ac:dyDescent="0.25">
      <c r="A139" s="57"/>
      <c r="B139" s="86">
        <v>14</v>
      </c>
      <c r="C139" s="88" t="s">
        <v>265</v>
      </c>
      <c r="D139" s="151"/>
      <c r="E139" s="151"/>
      <c r="F139" s="151"/>
      <c r="G139" s="151"/>
      <c r="H139" s="152"/>
      <c r="I139" s="83"/>
      <c r="J139" s="57"/>
      <c r="K139" s="57"/>
    </row>
    <row r="140" spans="1:11" ht="15.75" customHeight="1" x14ac:dyDescent="0.25">
      <c r="A140" s="57"/>
      <c r="B140" s="86">
        <v>15</v>
      </c>
      <c r="C140" s="88" t="s">
        <v>266</v>
      </c>
      <c r="D140" s="151"/>
      <c r="E140" s="151"/>
      <c r="F140" s="151"/>
      <c r="G140" s="151"/>
      <c r="H140" s="152"/>
      <c r="I140" s="83"/>
      <c r="J140" s="57"/>
      <c r="K140" s="57"/>
    </row>
    <row r="141" spans="1:11" ht="15.75" customHeight="1" x14ac:dyDescent="0.25">
      <c r="A141" s="57"/>
      <c r="B141" s="86">
        <v>16</v>
      </c>
      <c r="C141" s="88" t="s">
        <v>267</v>
      </c>
      <c r="D141" s="151"/>
      <c r="E141" s="151"/>
      <c r="F141" s="151"/>
      <c r="G141" s="151"/>
      <c r="H141" s="152"/>
      <c r="I141" s="83"/>
      <c r="J141" s="57"/>
      <c r="K141" s="57"/>
    </row>
    <row r="142" spans="1:11" ht="15.75" customHeight="1" x14ac:dyDescent="0.25">
      <c r="A142" s="57"/>
      <c r="B142" s="107">
        <v>17</v>
      </c>
      <c r="C142" s="108" t="s">
        <v>268</v>
      </c>
      <c r="D142" s="151"/>
      <c r="E142" s="151"/>
      <c r="F142" s="151"/>
      <c r="G142" s="151"/>
      <c r="H142" s="152"/>
      <c r="I142" s="83"/>
      <c r="J142" s="57"/>
      <c r="K142" s="57"/>
    </row>
    <row r="143" spans="1:11" ht="15.75" customHeight="1" x14ac:dyDescent="0.25">
      <c r="A143" s="57"/>
      <c r="B143" s="194" t="s">
        <v>33</v>
      </c>
      <c r="C143" s="193"/>
      <c r="D143" s="89">
        <f t="shared" ref="D143:H143" si="3">SUM(D126:D142)</f>
        <v>10</v>
      </c>
      <c r="E143" s="89">
        <f t="shared" si="3"/>
        <v>0</v>
      </c>
      <c r="F143" s="89">
        <f t="shared" si="3"/>
        <v>0</v>
      </c>
      <c r="G143" s="89">
        <f t="shared" si="3"/>
        <v>0</v>
      </c>
      <c r="H143" s="90">
        <f t="shared" si="3"/>
        <v>0</v>
      </c>
      <c r="I143" s="83"/>
      <c r="J143" s="57"/>
      <c r="K143" s="57"/>
    </row>
    <row r="144" spans="1:11" ht="15.75" customHeight="1" x14ac:dyDescent="0.25">
      <c r="A144" s="57"/>
      <c r="B144" s="59"/>
      <c r="C144" s="57"/>
      <c r="D144" s="83" t="b">
        <f>IF(D143=D123,TRUE)</f>
        <v>1</v>
      </c>
      <c r="E144" s="57"/>
      <c r="F144" s="57"/>
      <c r="G144" s="57"/>
      <c r="H144" s="83"/>
      <c r="I144" s="83"/>
      <c r="J144" s="57"/>
      <c r="K144" s="57"/>
    </row>
    <row r="145" spans="1:11" ht="21" customHeight="1" x14ac:dyDescent="0.25">
      <c r="A145" s="57"/>
      <c r="B145" s="63" t="s">
        <v>115</v>
      </c>
      <c r="C145" s="84" t="s">
        <v>135</v>
      </c>
      <c r="D145" s="85" t="s">
        <v>118</v>
      </c>
      <c r="E145" s="57"/>
      <c r="F145" s="63" t="s">
        <v>115</v>
      </c>
      <c r="G145" s="84" t="s">
        <v>135</v>
      </c>
      <c r="H145" s="85" t="s">
        <v>118</v>
      </c>
      <c r="I145" s="83"/>
      <c r="J145" s="57"/>
      <c r="K145" s="57"/>
    </row>
    <row r="146" spans="1:11" ht="15.75" customHeight="1" x14ac:dyDescent="0.25">
      <c r="A146" s="57"/>
      <c r="B146" s="86">
        <v>1</v>
      </c>
      <c r="C146" s="88" t="s">
        <v>269</v>
      </c>
      <c r="D146" s="152"/>
      <c r="E146" s="57"/>
      <c r="F146" s="86">
        <v>1</v>
      </c>
      <c r="G146" s="88" t="s">
        <v>270</v>
      </c>
      <c r="H146" s="110">
        <v>201000</v>
      </c>
      <c r="I146" s="83"/>
      <c r="J146" s="57"/>
      <c r="K146" s="57"/>
    </row>
    <row r="147" spans="1:11" ht="15.75" customHeight="1" x14ac:dyDescent="0.25">
      <c r="A147" s="57"/>
      <c r="B147" s="86">
        <v>2</v>
      </c>
      <c r="C147" s="88" t="s">
        <v>271</v>
      </c>
      <c r="D147" s="152">
        <v>2</v>
      </c>
      <c r="E147" s="57"/>
      <c r="F147" s="86">
        <v>2</v>
      </c>
      <c r="G147" s="88" t="s">
        <v>272</v>
      </c>
      <c r="H147" s="70"/>
      <c r="I147" s="83"/>
      <c r="J147" s="57"/>
      <c r="K147" s="57"/>
    </row>
    <row r="148" spans="1:11" ht="15.75" customHeight="1" x14ac:dyDescent="0.25">
      <c r="A148" s="57"/>
      <c r="B148" s="86">
        <v>3</v>
      </c>
      <c r="C148" s="88" t="s">
        <v>273</v>
      </c>
      <c r="D148" s="152"/>
      <c r="E148" s="57"/>
      <c r="F148" s="107">
        <v>3</v>
      </c>
      <c r="G148" s="108" t="s">
        <v>274</v>
      </c>
      <c r="H148" s="70"/>
      <c r="I148" s="83"/>
      <c r="J148" s="57"/>
      <c r="K148" s="57"/>
    </row>
    <row r="149" spans="1:11" ht="15.75" customHeight="1" x14ac:dyDescent="0.25">
      <c r="A149" s="57"/>
      <c r="B149" s="86">
        <v>4</v>
      </c>
      <c r="C149" s="88" t="s">
        <v>275</v>
      </c>
      <c r="D149" s="152">
        <v>5</v>
      </c>
      <c r="E149" s="57"/>
      <c r="F149" s="194" t="s">
        <v>33</v>
      </c>
      <c r="G149" s="193"/>
      <c r="H149" s="111">
        <f>SUM(H146:H148)</f>
        <v>201000</v>
      </c>
      <c r="I149" s="83"/>
      <c r="J149" s="57"/>
      <c r="K149" s="57"/>
    </row>
    <row r="150" spans="1:11" ht="15.75" customHeight="1" x14ac:dyDescent="0.25">
      <c r="A150" s="57"/>
      <c r="B150" s="86">
        <v>5</v>
      </c>
      <c r="C150" s="88" t="s">
        <v>276</v>
      </c>
      <c r="D150" s="152">
        <v>1</v>
      </c>
      <c r="E150" s="57"/>
      <c r="F150" s="57"/>
      <c r="G150" s="57"/>
      <c r="H150" s="83"/>
      <c r="I150" s="83"/>
      <c r="J150" s="57"/>
      <c r="K150" s="57"/>
    </row>
    <row r="151" spans="1:11" ht="15.75" customHeight="1" x14ac:dyDescent="0.25">
      <c r="A151" s="59"/>
      <c r="B151" s="107">
        <v>6</v>
      </c>
      <c r="C151" s="108" t="s">
        <v>277</v>
      </c>
      <c r="D151" s="152"/>
      <c r="E151" s="57"/>
      <c r="F151" s="57"/>
      <c r="G151" s="57"/>
      <c r="H151" s="83"/>
      <c r="I151" s="57"/>
      <c r="J151" s="57"/>
      <c r="K151" s="57"/>
    </row>
    <row r="152" spans="1:11" ht="15.75" customHeight="1" x14ac:dyDescent="0.25">
      <c r="A152" s="59"/>
      <c r="B152" s="112">
        <v>7</v>
      </c>
      <c r="C152" s="108" t="s">
        <v>278</v>
      </c>
      <c r="D152" s="155">
        <v>2</v>
      </c>
      <c r="E152" s="57"/>
      <c r="F152" s="57"/>
      <c r="G152" s="57"/>
      <c r="H152" s="83"/>
      <c r="I152" s="57"/>
      <c r="J152" s="57"/>
      <c r="K152" s="57"/>
    </row>
    <row r="153" spans="1:11" ht="15.75" customHeight="1" x14ac:dyDescent="0.25">
      <c r="A153" s="59"/>
      <c r="B153" s="192" t="s">
        <v>33</v>
      </c>
      <c r="C153" s="193"/>
      <c r="D153" s="90">
        <f>SUM(D146:D152)</f>
        <v>10</v>
      </c>
      <c r="E153" s="106"/>
      <c r="F153" s="106"/>
      <c r="G153" s="57"/>
      <c r="H153" s="59"/>
      <c r="I153" s="57"/>
      <c r="J153" s="57"/>
      <c r="K153" s="57"/>
    </row>
    <row r="154" spans="1:11" ht="15.75" customHeight="1" x14ac:dyDescent="0.25">
      <c r="A154" s="57"/>
      <c r="B154" s="59"/>
      <c r="C154" s="57"/>
      <c r="D154" s="83" t="b">
        <f>IF(D153=D143,TRUE)</f>
        <v>1</v>
      </c>
      <c r="E154" s="57"/>
      <c r="F154" s="57"/>
      <c r="G154" s="57"/>
      <c r="H154" s="83"/>
      <c r="I154" s="57"/>
      <c r="J154" s="57"/>
      <c r="K154" s="57"/>
    </row>
    <row r="155" spans="1:11" ht="28.5" customHeight="1" x14ac:dyDescent="0.25">
      <c r="A155" s="57"/>
      <c r="B155" s="63" t="s">
        <v>115</v>
      </c>
      <c r="C155" s="84" t="s">
        <v>135</v>
      </c>
      <c r="D155" s="85" t="s">
        <v>118</v>
      </c>
      <c r="E155" s="57"/>
      <c r="F155" s="63" t="s">
        <v>115</v>
      </c>
      <c r="G155" s="84" t="s">
        <v>135</v>
      </c>
      <c r="H155" s="85" t="s">
        <v>118</v>
      </c>
      <c r="I155" s="57"/>
      <c r="J155" s="57"/>
      <c r="K155" s="57"/>
    </row>
    <row r="156" spans="1:11" ht="14.25" customHeight="1" x14ac:dyDescent="0.25">
      <c r="A156" s="57"/>
      <c r="B156" s="86">
        <v>1</v>
      </c>
      <c r="C156" s="88" t="s">
        <v>279</v>
      </c>
      <c r="D156" s="152"/>
      <c r="E156" s="57"/>
      <c r="F156" s="86">
        <v>1</v>
      </c>
      <c r="G156" s="88" t="s">
        <v>280</v>
      </c>
      <c r="H156" s="152">
        <v>16</v>
      </c>
      <c r="I156" s="57"/>
      <c r="J156" s="57"/>
      <c r="K156" s="57"/>
    </row>
    <row r="157" spans="1:11" ht="15.75" customHeight="1" x14ac:dyDescent="0.25">
      <c r="A157" s="57"/>
      <c r="B157" s="86">
        <v>2</v>
      </c>
      <c r="C157" s="88" t="s">
        <v>281</v>
      </c>
      <c r="D157" s="152">
        <v>1</v>
      </c>
      <c r="E157" s="57"/>
      <c r="F157" s="86">
        <v>2</v>
      </c>
      <c r="G157" s="88" t="s">
        <v>282</v>
      </c>
      <c r="H157" s="152">
        <v>2</v>
      </c>
      <c r="I157" s="57"/>
      <c r="J157" s="57"/>
      <c r="K157" s="57"/>
    </row>
    <row r="158" spans="1:11" ht="15.75" customHeight="1" x14ac:dyDescent="0.25">
      <c r="A158" s="57"/>
      <c r="B158" s="86">
        <v>3</v>
      </c>
      <c r="C158" s="88" t="s">
        <v>283</v>
      </c>
      <c r="D158" s="152">
        <v>10</v>
      </c>
      <c r="E158" s="57"/>
      <c r="F158" s="86">
        <v>3</v>
      </c>
      <c r="G158" s="88" t="s">
        <v>284</v>
      </c>
      <c r="H158" s="152">
        <v>2</v>
      </c>
      <c r="I158" s="57"/>
      <c r="J158" s="57"/>
      <c r="K158" s="57"/>
    </row>
    <row r="159" spans="1:11" ht="15.75" customHeight="1" x14ac:dyDescent="0.25">
      <c r="A159" s="57"/>
      <c r="B159" s="86">
        <v>4</v>
      </c>
      <c r="C159" s="88" t="s">
        <v>285</v>
      </c>
      <c r="D159" s="152">
        <v>6</v>
      </c>
      <c r="E159" s="57"/>
      <c r="F159" s="113">
        <v>4</v>
      </c>
      <c r="G159" s="114" t="s">
        <v>286</v>
      </c>
      <c r="H159" s="156"/>
      <c r="I159" s="57"/>
      <c r="J159" s="57"/>
      <c r="K159" s="57"/>
    </row>
    <row r="160" spans="1:11" ht="15.75" customHeight="1" x14ac:dyDescent="0.25">
      <c r="A160" s="57"/>
      <c r="B160" s="86">
        <v>5</v>
      </c>
      <c r="C160" s="88" t="s">
        <v>287</v>
      </c>
      <c r="D160" s="152"/>
      <c r="E160" s="57"/>
      <c r="F160" s="57"/>
      <c r="G160" s="57"/>
      <c r="H160" s="57"/>
      <c r="I160" s="57"/>
      <c r="J160" s="57"/>
      <c r="K160" s="57"/>
    </row>
    <row r="161" spans="1:11" ht="15.75" customHeight="1" x14ac:dyDescent="0.25">
      <c r="A161" s="57"/>
      <c r="B161" s="86">
        <v>6</v>
      </c>
      <c r="C161" s="88" t="s">
        <v>288</v>
      </c>
      <c r="D161" s="152">
        <v>1</v>
      </c>
      <c r="E161" s="57"/>
      <c r="F161" s="116" t="s">
        <v>115</v>
      </c>
      <c r="G161" s="67" t="s">
        <v>289</v>
      </c>
      <c r="H161" s="68" t="s">
        <v>118</v>
      </c>
      <c r="I161" s="83"/>
      <c r="J161" s="57"/>
      <c r="K161" s="57"/>
    </row>
    <row r="162" spans="1:11" ht="15.75" customHeight="1" x14ac:dyDescent="0.25">
      <c r="A162" s="57"/>
      <c r="B162" s="86">
        <v>7</v>
      </c>
      <c r="C162" s="88" t="s">
        <v>290</v>
      </c>
      <c r="D162" s="152"/>
      <c r="E162" s="57"/>
      <c r="F162" s="86">
        <v>1</v>
      </c>
      <c r="G162" s="88" t="s">
        <v>291</v>
      </c>
      <c r="H162" s="70"/>
      <c r="I162" s="83"/>
      <c r="J162" s="57"/>
      <c r="K162" s="57"/>
    </row>
    <row r="163" spans="1:11" ht="15.75" customHeight="1" x14ac:dyDescent="0.25">
      <c r="A163" s="57"/>
      <c r="B163" s="86">
        <v>8</v>
      </c>
      <c r="C163" s="88" t="s">
        <v>292</v>
      </c>
      <c r="D163" s="152"/>
      <c r="E163" s="57"/>
      <c r="F163" s="86">
        <v>2</v>
      </c>
      <c r="G163" s="88" t="s">
        <v>293</v>
      </c>
      <c r="H163" s="70">
        <v>5</v>
      </c>
      <c r="I163" s="83"/>
      <c r="J163" s="57"/>
      <c r="K163" s="57"/>
    </row>
    <row r="164" spans="1:11" ht="15.75" customHeight="1" x14ac:dyDescent="0.25">
      <c r="A164" s="57"/>
      <c r="B164" s="86">
        <v>9</v>
      </c>
      <c r="C164" s="88" t="s">
        <v>294</v>
      </c>
      <c r="D164" s="152"/>
      <c r="E164" s="57"/>
      <c r="F164" s="86">
        <v>3</v>
      </c>
      <c r="G164" s="88" t="s">
        <v>295</v>
      </c>
      <c r="H164" s="70"/>
      <c r="I164" s="83"/>
      <c r="J164" s="57"/>
      <c r="K164" s="57"/>
    </row>
    <row r="165" spans="1:11" ht="15.75" customHeight="1" x14ac:dyDescent="0.25">
      <c r="A165" s="57"/>
      <c r="B165" s="86">
        <v>10</v>
      </c>
      <c r="C165" s="88" t="s">
        <v>296</v>
      </c>
      <c r="D165" s="152"/>
      <c r="E165" s="57"/>
      <c r="F165" s="113">
        <v>4</v>
      </c>
      <c r="G165" s="114" t="s">
        <v>297</v>
      </c>
      <c r="H165" s="70"/>
      <c r="I165" s="83"/>
      <c r="J165" s="57"/>
      <c r="K165" s="57"/>
    </row>
    <row r="166" spans="1:11" ht="15.75" customHeight="1" x14ac:dyDescent="0.25">
      <c r="A166" s="57"/>
      <c r="B166" s="86">
        <v>11</v>
      </c>
      <c r="C166" s="88" t="s">
        <v>298</v>
      </c>
      <c r="D166" s="152"/>
      <c r="E166" s="57"/>
      <c r="F166" s="197" t="s">
        <v>33</v>
      </c>
      <c r="G166" s="162"/>
      <c r="H166" s="117">
        <f>SUM(H162:H165)</f>
        <v>5</v>
      </c>
      <c r="I166" s="83"/>
      <c r="J166" s="57"/>
      <c r="K166" s="57"/>
    </row>
    <row r="167" spans="1:11" ht="15.75" customHeight="1" x14ac:dyDescent="0.25">
      <c r="A167" s="57"/>
      <c r="B167" s="86">
        <v>12</v>
      </c>
      <c r="C167" s="88" t="s">
        <v>299</v>
      </c>
      <c r="D167" s="152">
        <v>2</v>
      </c>
      <c r="E167" s="57"/>
      <c r="F167" s="59"/>
      <c r="G167" s="57"/>
      <c r="H167" s="83"/>
      <c r="I167" s="83"/>
      <c r="J167" s="57"/>
      <c r="K167" s="57"/>
    </row>
    <row r="168" spans="1:11" ht="15.75" customHeight="1" x14ac:dyDescent="0.25">
      <c r="A168" s="57"/>
      <c r="B168" s="86">
        <v>13</v>
      </c>
      <c r="C168" s="88" t="s">
        <v>300</v>
      </c>
      <c r="D168" s="152"/>
      <c r="E168" s="57"/>
      <c r="F168" s="116" t="s">
        <v>115</v>
      </c>
      <c r="G168" s="67" t="s">
        <v>301</v>
      </c>
      <c r="H168" s="68" t="s">
        <v>118</v>
      </c>
      <c r="I168" s="83"/>
      <c r="J168" s="57"/>
      <c r="K168" s="57"/>
    </row>
    <row r="169" spans="1:11" ht="15.75" customHeight="1" x14ac:dyDescent="0.25">
      <c r="A169" s="59"/>
      <c r="B169" s="86">
        <v>14</v>
      </c>
      <c r="C169" s="88" t="s">
        <v>302</v>
      </c>
      <c r="D169" s="152"/>
      <c r="E169" s="57"/>
      <c r="F169" s="113">
        <v>1</v>
      </c>
      <c r="G169" s="114" t="s">
        <v>303</v>
      </c>
      <c r="H169" s="115">
        <v>28</v>
      </c>
      <c r="I169" s="83"/>
      <c r="J169" s="57"/>
      <c r="K169" s="57"/>
    </row>
    <row r="170" spans="1:11" ht="15.75" customHeight="1" x14ac:dyDescent="0.25">
      <c r="A170" s="57"/>
      <c r="B170" s="113">
        <v>15</v>
      </c>
      <c r="C170" s="114" t="s">
        <v>304</v>
      </c>
      <c r="D170" s="156"/>
      <c r="E170" s="57"/>
      <c r="F170" s="57"/>
      <c r="G170" s="57"/>
      <c r="H170" s="83"/>
      <c r="I170" s="83"/>
      <c r="J170" s="57"/>
      <c r="K170" s="57"/>
    </row>
    <row r="171" spans="1:11" ht="15.75" customHeight="1" x14ac:dyDescent="0.25">
      <c r="A171" s="57"/>
      <c r="B171" s="83"/>
      <c r="C171" s="57"/>
      <c r="D171" s="57"/>
      <c r="E171" s="57"/>
      <c r="F171" s="57"/>
      <c r="G171" s="57"/>
      <c r="H171" s="83"/>
      <c r="I171" s="83"/>
      <c r="J171" s="57"/>
      <c r="K171" s="57"/>
    </row>
    <row r="172" spans="1:11" ht="15.75" customHeight="1" x14ac:dyDescent="0.25">
      <c r="A172" s="57"/>
      <c r="B172" s="83"/>
      <c r="C172" s="57"/>
      <c r="D172" s="57"/>
      <c r="E172" s="57"/>
      <c r="F172" s="57"/>
      <c r="G172" s="57"/>
      <c r="H172" s="83"/>
      <c r="I172" s="83"/>
      <c r="J172" s="57"/>
      <c r="K172" s="57"/>
    </row>
    <row r="173" spans="1:11" ht="15.75" customHeight="1" x14ac:dyDescent="0.25">
      <c r="A173" s="57"/>
      <c r="B173" s="83"/>
      <c r="C173" s="57"/>
      <c r="D173" s="57"/>
      <c r="E173" s="57"/>
      <c r="F173" s="57"/>
      <c r="G173" s="57"/>
      <c r="H173" s="83"/>
      <c r="I173" s="83"/>
      <c r="J173" s="57"/>
      <c r="K173" s="57"/>
    </row>
    <row r="174" spans="1:11" ht="15.75" customHeight="1" x14ac:dyDescent="0.25">
      <c r="A174" s="57"/>
      <c r="B174" s="83"/>
      <c r="C174" s="57"/>
      <c r="D174" s="57"/>
      <c r="E174" s="57"/>
      <c r="F174" s="57"/>
      <c r="G174" s="57"/>
      <c r="H174" s="83"/>
      <c r="I174" s="83"/>
      <c r="J174" s="57"/>
      <c r="K174" s="57"/>
    </row>
    <row r="175" spans="1:11" ht="15.75" customHeight="1" x14ac:dyDescent="0.25">
      <c r="A175" s="57"/>
      <c r="B175" s="83"/>
      <c r="C175" s="57"/>
      <c r="D175" s="57"/>
      <c r="E175" s="57"/>
      <c r="F175" s="57"/>
      <c r="G175" s="57"/>
      <c r="H175" s="83"/>
      <c r="I175" s="83"/>
      <c r="J175" s="57"/>
      <c r="K175" s="57"/>
    </row>
    <row r="176" spans="1:11" ht="15.75" customHeight="1" x14ac:dyDescent="0.25">
      <c r="A176" s="59"/>
      <c r="B176" s="83"/>
      <c r="C176" s="57"/>
      <c r="D176" s="57"/>
      <c r="E176" s="57"/>
      <c r="F176" s="57"/>
      <c r="G176" s="57"/>
      <c r="H176" s="83"/>
      <c r="I176" s="83"/>
      <c r="J176" s="57"/>
      <c r="K176" s="57"/>
    </row>
    <row r="177" spans="1:11" ht="15.75" customHeight="1" x14ac:dyDescent="0.25">
      <c r="A177" s="57"/>
      <c r="B177" s="83"/>
      <c r="C177" s="57"/>
      <c r="D177" s="57"/>
      <c r="E177" s="57"/>
      <c r="F177" s="57"/>
      <c r="G177" s="57"/>
      <c r="H177" s="83"/>
      <c r="I177" s="83"/>
      <c r="J177" s="57"/>
      <c r="K177" s="57"/>
    </row>
    <row r="178" spans="1:11" ht="15.75" customHeight="1" x14ac:dyDescent="0.25">
      <c r="A178" s="57"/>
      <c r="B178" s="59"/>
      <c r="C178" s="57"/>
      <c r="D178" s="83"/>
      <c r="E178" s="57"/>
      <c r="F178" s="57"/>
      <c r="G178" s="57"/>
      <c r="H178" s="83"/>
      <c r="I178" s="83"/>
      <c r="J178" s="57"/>
      <c r="K178" s="57"/>
    </row>
    <row r="179" spans="1:11" ht="15.75" customHeight="1" x14ac:dyDescent="0.25">
      <c r="A179" s="57"/>
      <c r="B179" s="83"/>
      <c r="C179" s="57"/>
      <c r="D179" s="57"/>
      <c r="E179" s="57"/>
      <c r="F179" s="57"/>
      <c r="G179" s="57"/>
      <c r="H179" s="83"/>
      <c r="I179" s="83"/>
      <c r="J179" s="57"/>
      <c r="K179" s="57"/>
    </row>
    <row r="180" spans="1:11" ht="15.75" customHeight="1" x14ac:dyDescent="0.25">
      <c r="A180" s="57"/>
      <c r="B180" s="59"/>
      <c r="C180" s="57"/>
      <c r="D180" s="83"/>
      <c r="E180" s="57"/>
      <c r="F180" s="57"/>
      <c r="G180" s="57"/>
      <c r="H180" s="83"/>
      <c r="I180" s="83"/>
      <c r="J180" s="57"/>
      <c r="K180" s="57"/>
    </row>
  </sheetData>
  <mergeCells count="33">
    <mergeCell ref="F149:G149"/>
    <mergeCell ref="F166:G166"/>
    <mergeCell ref="B96:H96"/>
    <mergeCell ref="B110:C110"/>
    <mergeCell ref="B117:C117"/>
    <mergeCell ref="B123:C123"/>
    <mergeCell ref="F123:G123"/>
    <mergeCell ref="B94:C94"/>
    <mergeCell ref="B67:B70"/>
    <mergeCell ref="A71:A77"/>
    <mergeCell ref="B71:B77"/>
    <mergeCell ref="B153:C153"/>
    <mergeCell ref="B143:C143"/>
    <mergeCell ref="A78:B78"/>
    <mergeCell ref="A67:A70"/>
    <mergeCell ref="A47:A51"/>
    <mergeCell ref="B47:B51"/>
    <mergeCell ref="A52:A59"/>
    <mergeCell ref="B52:B59"/>
    <mergeCell ref="B60:B66"/>
    <mergeCell ref="A60:A66"/>
    <mergeCell ref="A4:A11"/>
    <mergeCell ref="B4:B11"/>
    <mergeCell ref="A12:A18"/>
    <mergeCell ref="B12:B18"/>
    <mergeCell ref="A19:A25"/>
    <mergeCell ref="B19:B25"/>
    <mergeCell ref="A36:A37"/>
    <mergeCell ref="B36:B37"/>
    <mergeCell ref="A38:A46"/>
    <mergeCell ref="B38:B46"/>
    <mergeCell ref="A26:A35"/>
    <mergeCell ref="B26:B35"/>
  </mergeCells>
  <pageMargins left="0.7" right="0.7" top="0.75" bottom="0.75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0"/>
  <sheetViews>
    <sheetView workbookViewId="0"/>
  </sheetViews>
  <sheetFormatPr baseColWidth="10" defaultColWidth="14.42578125" defaultRowHeight="15" customHeight="1" x14ac:dyDescent="0.25"/>
  <cols>
    <col min="1" max="1" width="3.42578125" customWidth="1"/>
    <col min="2" max="2" width="5.85546875" customWidth="1"/>
    <col min="3" max="3" width="11.5703125" customWidth="1"/>
    <col min="4" max="4" width="43.7109375" customWidth="1"/>
    <col min="5" max="5" width="45.7109375" customWidth="1"/>
    <col min="6" max="6" width="44.42578125" customWidth="1"/>
    <col min="7" max="9" width="38.7109375" customWidth="1"/>
    <col min="10" max="17" width="11.5703125" customWidth="1"/>
  </cols>
  <sheetData>
    <row r="1" spans="1:17" ht="28.5" customHeight="1" x14ac:dyDescent="0.25">
      <c r="A1" s="118" t="s">
        <v>305</v>
      </c>
      <c r="B1" s="43" t="s">
        <v>306</v>
      </c>
      <c r="C1" s="43" t="s">
        <v>307</v>
      </c>
      <c r="D1" s="43" t="s">
        <v>308</v>
      </c>
      <c r="E1" s="43" t="s">
        <v>309</v>
      </c>
      <c r="F1" s="43" t="s">
        <v>310</v>
      </c>
      <c r="G1" s="43" t="s">
        <v>311</v>
      </c>
      <c r="H1" s="43" t="s">
        <v>312</v>
      </c>
      <c r="I1" s="43" t="s">
        <v>313</v>
      </c>
      <c r="J1" s="119"/>
      <c r="K1" s="119"/>
      <c r="L1" s="119"/>
      <c r="M1" s="119"/>
      <c r="N1" s="119"/>
      <c r="O1" s="119"/>
      <c r="P1" s="119"/>
      <c r="Q1" s="119"/>
    </row>
    <row r="2" spans="1:17" ht="28.5" customHeight="1" x14ac:dyDescent="0.25">
      <c r="A2" s="120">
        <v>1</v>
      </c>
      <c r="B2" s="121">
        <v>0.89583333333333337</v>
      </c>
      <c r="C2" s="120" t="s">
        <v>314</v>
      </c>
      <c r="D2" s="122" t="s">
        <v>315</v>
      </c>
      <c r="E2" s="122" t="s">
        <v>316</v>
      </c>
      <c r="F2" s="122" t="s">
        <v>317</v>
      </c>
      <c r="G2" s="120"/>
      <c r="H2" s="120"/>
      <c r="I2" s="120"/>
      <c r="J2" s="119"/>
      <c r="K2" s="119"/>
      <c r="L2" s="119"/>
      <c r="M2" s="119"/>
      <c r="N2" s="119"/>
      <c r="O2" s="119"/>
      <c r="P2" s="119"/>
      <c r="Q2" s="119"/>
    </row>
    <row r="3" spans="1:17" ht="28.5" customHeight="1" x14ac:dyDescent="0.25">
      <c r="A3" s="120">
        <v>2</v>
      </c>
      <c r="B3" s="121">
        <v>0.60833333333333328</v>
      </c>
      <c r="C3" s="120" t="s">
        <v>318</v>
      </c>
      <c r="D3" s="122" t="s">
        <v>319</v>
      </c>
      <c r="E3" s="122" t="s">
        <v>320</v>
      </c>
      <c r="F3" s="122" t="s">
        <v>321</v>
      </c>
      <c r="G3" s="120"/>
      <c r="H3" s="120"/>
      <c r="I3" s="120"/>
      <c r="J3" s="76"/>
      <c r="K3" s="76"/>
      <c r="L3" s="76"/>
      <c r="M3" s="76"/>
      <c r="N3" s="76"/>
      <c r="O3" s="76"/>
      <c r="P3" s="76"/>
      <c r="Q3" s="76"/>
    </row>
    <row r="4" spans="1:17" ht="28.5" customHeight="1" x14ac:dyDescent="0.25">
      <c r="A4" s="120">
        <v>3</v>
      </c>
      <c r="B4" s="121"/>
      <c r="C4" s="120"/>
      <c r="D4" s="122"/>
      <c r="E4" s="122"/>
      <c r="F4" s="122"/>
      <c r="G4" s="120"/>
      <c r="H4" s="120"/>
      <c r="I4" s="120"/>
      <c r="J4" s="76"/>
      <c r="K4" s="76"/>
      <c r="L4" s="76"/>
      <c r="M4" s="76"/>
      <c r="N4" s="76"/>
      <c r="O4" s="76"/>
      <c r="P4" s="76"/>
      <c r="Q4" s="76"/>
    </row>
    <row r="5" spans="1:17" ht="28.5" customHeight="1" x14ac:dyDescent="0.25">
      <c r="A5" s="120">
        <v>4</v>
      </c>
      <c r="B5" s="121"/>
      <c r="C5" s="120"/>
      <c r="D5" s="122"/>
      <c r="E5" s="122"/>
      <c r="F5" s="122"/>
      <c r="G5" s="120"/>
      <c r="H5" s="120"/>
      <c r="I5" s="120"/>
      <c r="J5" s="76"/>
      <c r="K5" s="76"/>
      <c r="L5" s="76"/>
      <c r="M5" s="76"/>
      <c r="N5" s="76"/>
      <c r="O5" s="76"/>
      <c r="P5" s="76"/>
      <c r="Q5" s="76"/>
    </row>
    <row r="6" spans="1:17" ht="28.5" customHeight="1" x14ac:dyDescent="0.25">
      <c r="A6" s="120">
        <v>5</v>
      </c>
      <c r="B6" s="121"/>
      <c r="C6" s="120"/>
      <c r="D6" s="122"/>
      <c r="E6" s="122"/>
      <c r="F6" s="122"/>
      <c r="G6" s="120"/>
      <c r="H6" s="120"/>
      <c r="I6" s="120"/>
      <c r="J6" s="76"/>
      <c r="K6" s="76"/>
      <c r="L6" s="76"/>
      <c r="M6" s="76"/>
      <c r="N6" s="76"/>
      <c r="O6" s="76"/>
      <c r="P6" s="76"/>
      <c r="Q6" s="76"/>
    </row>
    <row r="7" spans="1:17" ht="28.5" customHeight="1" x14ac:dyDescent="0.25">
      <c r="A7" s="120">
        <v>6</v>
      </c>
      <c r="B7" s="121"/>
      <c r="C7" s="120"/>
      <c r="D7" s="122"/>
      <c r="E7" s="122"/>
      <c r="F7" s="122"/>
      <c r="G7" s="120"/>
      <c r="H7" s="120"/>
      <c r="I7" s="120"/>
      <c r="J7" s="76"/>
      <c r="K7" s="76"/>
      <c r="L7" s="76"/>
      <c r="M7" s="76"/>
      <c r="N7" s="76"/>
      <c r="O7" s="76"/>
      <c r="P7" s="76"/>
      <c r="Q7" s="76"/>
    </row>
    <row r="8" spans="1:17" ht="28.5" customHeight="1" x14ac:dyDescent="0.25">
      <c r="A8" s="120">
        <v>7</v>
      </c>
      <c r="B8" s="121"/>
      <c r="C8" s="120"/>
      <c r="D8" s="122"/>
      <c r="E8" s="122"/>
      <c r="F8" s="122"/>
      <c r="G8" s="120"/>
      <c r="H8" s="120"/>
      <c r="I8" s="120"/>
      <c r="J8" s="76"/>
      <c r="K8" s="76"/>
      <c r="L8" s="76"/>
      <c r="M8" s="76"/>
      <c r="N8" s="76"/>
      <c r="O8" s="76"/>
      <c r="P8" s="76"/>
      <c r="Q8" s="76"/>
    </row>
    <row r="9" spans="1:17" ht="28.5" customHeight="1" x14ac:dyDescent="0.25">
      <c r="A9" s="120">
        <v>8</v>
      </c>
      <c r="B9" s="121"/>
      <c r="C9" s="120"/>
      <c r="D9" s="122"/>
      <c r="E9" s="122"/>
      <c r="F9" s="122"/>
      <c r="G9" s="120"/>
      <c r="H9" s="120"/>
      <c r="I9" s="120"/>
      <c r="J9" s="76"/>
      <c r="K9" s="76"/>
      <c r="L9" s="76"/>
      <c r="M9" s="76"/>
      <c r="N9" s="76"/>
      <c r="O9" s="76"/>
      <c r="P9" s="76"/>
      <c r="Q9" s="76"/>
    </row>
    <row r="10" spans="1:17" ht="28.5" customHeight="1" x14ac:dyDescent="0.25">
      <c r="A10" s="120">
        <v>9</v>
      </c>
      <c r="B10" s="121"/>
      <c r="C10" s="120"/>
      <c r="D10" s="122"/>
      <c r="E10" s="122"/>
      <c r="F10" s="122"/>
      <c r="G10" s="120"/>
      <c r="H10" s="120"/>
      <c r="I10" s="120"/>
      <c r="J10" s="76"/>
      <c r="K10" s="76"/>
      <c r="L10" s="76"/>
      <c r="M10" s="76"/>
      <c r="N10" s="76"/>
      <c r="O10" s="76"/>
      <c r="P10" s="76"/>
      <c r="Q10" s="76"/>
    </row>
    <row r="11" spans="1:17" ht="28.5" customHeight="1" x14ac:dyDescent="0.25">
      <c r="A11" s="120">
        <v>10</v>
      </c>
      <c r="B11" s="121"/>
      <c r="C11" s="120"/>
      <c r="D11" s="122"/>
      <c r="E11" s="122"/>
      <c r="F11" s="122"/>
      <c r="G11" s="120"/>
      <c r="H11" s="120"/>
      <c r="I11" s="120"/>
      <c r="J11" s="76"/>
      <c r="K11" s="76"/>
      <c r="L11" s="76"/>
      <c r="M11" s="76"/>
      <c r="N11" s="76"/>
      <c r="O11" s="76"/>
      <c r="P11" s="76"/>
      <c r="Q11" s="76"/>
    </row>
    <row r="12" spans="1:17" ht="28.5" customHeight="1" x14ac:dyDescent="0.25">
      <c r="A12" s="120">
        <v>11</v>
      </c>
      <c r="B12" s="121"/>
      <c r="C12" s="120"/>
      <c r="D12" s="122"/>
      <c r="E12" s="122"/>
      <c r="F12" s="122"/>
      <c r="G12" s="120"/>
      <c r="H12" s="120"/>
      <c r="I12" s="120"/>
      <c r="J12" s="76"/>
      <c r="K12" s="76"/>
      <c r="L12" s="76"/>
      <c r="M12" s="76"/>
      <c r="N12" s="76"/>
      <c r="O12" s="76"/>
      <c r="P12" s="76"/>
      <c r="Q12" s="76"/>
    </row>
    <row r="13" spans="1:17" ht="28.5" customHeight="1" x14ac:dyDescent="0.25">
      <c r="A13" s="120">
        <v>12</v>
      </c>
      <c r="B13" s="121"/>
      <c r="C13" s="120"/>
      <c r="D13" s="122"/>
      <c r="E13" s="122"/>
      <c r="F13" s="122"/>
      <c r="G13" s="120"/>
      <c r="H13" s="120"/>
      <c r="I13" s="120"/>
      <c r="J13" s="76"/>
      <c r="K13" s="76"/>
      <c r="L13" s="76"/>
      <c r="M13" s="76"/>
      <c r="N13" s="76"/>
      <c r="O13" s="76"/>
      <c r="P13" s="76"/>
      <c r="Q13" s="76"/>
    </row>
    <row r="14" spans="1:17" ht="28.5" customHeight="1" x14ac:dyDescent="0.25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</row>
    <row r="15" spans="1:17" ht="28.5" customHeight="1" x14ac:dyDescent="0.25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</row>
    <row r="16" spans="1:17" ht="28.5" customHeight="1" x14ac:dyDescent="0.25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</row>
    <row r="17" spans="1:17" ht="28.5" customHeight="1" x14ac:dyDescent="0.25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</row>
    <row r="18" spans="1:17" ht="28.5" customHeight="1" x14ac:dyDescent="0.25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</row>
    <row r="19" spans="1:17" ht="28.5" customHeight="1" x14ac:dyDescent="0.25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</row>
    <row r="20" spans="1:17" ht="28.5" customHeight="1" x14ac:dyDescent="0.25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</row>
    <row r="21" spans="1:17" ht="28.5" customHeight="1" x14ac:dyDescent="0.25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</row>
    <row r="22" spans="1:17" ht="28.5" customHeight="1" x14ac:dyDescent="0.25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</row>
    <row r="23" spans="1:17" ht="28.5" customHeight="1" x14ac:dyDescent="0.25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</row>
    <row r="24" spans="1:17" ht="28.5" customHeight="1" x14ac:dyDescent="0.25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</row>
    <row r="25" spans="1:17" ht="28.5" customHeight="1" x14ac:dyDescent="0.25">
      <c r="A25" s="119"/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</row>
    <row r="26" spans="1:17" ht="28.5" customHeight="1" x14ac:dyDescent="0.25">
      <c r="A26" s="119"/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</row>
    <row r="27" spans="1:17" ht="28.5" customHeight="1" x14ac:dyDescent="0.25">
      <c r="A27" s="119"/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</row>
    <row r="28" spans="1:17" ht="28.5" customHeight="1" x14ac:dyDescent="0.25">
      <c r="A28" s="119"/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</row>
    <row r="29" spans="1:17" ht="28.5" customHeight="1" x14ac:dyDescent="0.25">
      <c r="A29" s="119"/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</row>
    <row r="30" spans="1:17" ht="28.5" customHeight="1" x14ac:dyDescent="0.25">
      <c r="A30" s="119"/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</row>
    <row r="31" spans="1:17" ht="28.5" customHeight="1" x14ac:dyDescent="0.25">
      <c r="A31" s="119"/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</row>
    <row r="32" spans="1:17" ht="28.5" customHeight="1" x14ac:dyDescent="0.25">
      <c r="A32" s="119"/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</row>
    <row r="33" spans="1:17" ht="28.5" customHeight="1" x14ac:dyDescent="0.25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</row>
    <row r="34" spans="1:17" ht="28.5" customHeight="1" x14ac:dyDescent="0.25">
      <c r="A34" s="119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</row>
    <row r="35" spans="1:17" ht="28.5" customHeight="1" x14ac:dyDescent="0.25">
      <c r="A35" s="119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</row>
    <row r="36" spans="1:17" ht="28.5" customHeight="1" x14ac:dyDescent="0.25">
      <c r="A36" s="119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</row>
    <row r="37" spans="1:17" ht="28.5" customHeight="1" x14ac:dyDescent="0.25">
      <c r="A37" s="119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</row>
    <row r="38" spans="1:17" ht="28.5" customHeight="1" x14ac:dyDescent="0.25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</row>
    <row r="39" spans="1:17" ht="28.5" customHeight="1" x14ac:dyDescent="0.25">
      <c r="A39" s="119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</row>
    <row r="40" spans="1:17" ht="28.5" customHeight="1" x14ac:dyDescent="0.25">
      <c r="A40" s="119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</row>
    <row r="41" spans="1:17" ht="28.5" customHeight="1" x14ac:dyDescent="0.25">
      <c r="A41" s="119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</row>
    <row r="42" spans="1:17" ht="28.5" customHeight="1" x14ac:dyDescent="0.25">
      <c r="A42" s="119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</row>
    <row r="43" spans="1:17" ht="28.5" customHeight="1" x14ac:dyDescent="0.25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</row>
    <row r="44" spans="1:17" ht="28.5" customHeight="1" x14ac:dyDescent="0.25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</row>
    <row r="45" spans="1:17" ht="28.5" customHeight="1" x14ac:dyDescent="0.25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</row>
    <row r="46" spans="1:17" ht="28.5" customHeight="1" x14ac:dyDescent="0.25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</row>
    <row r="47" spans="1:17" ht="28.5" customHeight="1" x14ac:dyDescent="0.25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</row>
    <row r="48" spans="1:17" ht="28.5" customHeight="1" x14ac:dyDescent="0.25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</row>
    <row r="49" spans="1:17" ht="28.5" customHeight="1" x14ac:dyDescent="0.25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</row>
    <row r="50" spans="1:17" ht="28.5" customHeight="1" x14ac:dyDescent="0.25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</row>
    <row r="51" spans="1:17" ht="28.5" customHeight="1" x14ac:dyDescent="0.25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</row>
    <row r="52" spans="1:17" ht="28.5" customHeight="1" x14ac:dyDescent="0.25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</row>
    <row r="53" spans="1:17" ht="28.5" customHeight="1" x14ac:dyDescent="0.25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</row>
    <row r="54" spans="1:17" ht="28.5" customHeight="1" x14ac:dyDescent="0.25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</row>
    <row r="55" spans="1:17" ht="28.5" customHeight="1" x14ac:dyDescent="0.25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</row>
    <row r="56" spans="1:17" ht="28.5" customHeight="1" x14ac:dyDescent="0.25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</row>
    <row r="57" spans="1:17" ht="28.5" customHeight="1" x14ac:dyDescent="0.25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</row>
    <row r="58" spans="1:17" ht="28.5" customHeight="1" x14ac:dyDescent="0.25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</row>
    <row r="59" spans="1:17" ht="28.5" customHeight="1" x14ac:dyDescent="0.25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</row>
    <row r="60" spans="1:17" ht="28.5" customHeight="1" x14ac:dyDescent="0.25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</row>
    <row r="61" spans="1:17" ht="28.5" customHeight="1" x14ac:dyDescent="0.25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</row>
    <row r="62" spans="1:17" ht="28.5" customHeight="1" x14ac:dyDescent="0.25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</row>
    <row r="63" spans="1:17" ht="28.5" customHeight="1" x14ac:dyDescent="0.25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</row>
    <row r="64" spans="1:17" ht="28.5" customHeight="1" x14ac:dyDescent="0.25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</row>
    <row r="65" spans="1:17" ht="28.5" customHeight="1" x14ac:dyDescent="0.25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</row>
    <row r="66" spans="1:17" ht="28.5" customHeight="1" x14ac:dyDescent="0.25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</row>
    <row r="67" spans="1:17" ht="28.5" customHeight="1" x14ac:dyDescent="0.25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</row>
    <row r="68" spans="1:17" ht="28.5" customHeight="1" x14ac:dyDescent="0.25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</row>
    <row r="69" spans="1:17" ht="28.5" customHeight="1" x14ac:dyDescent="0.25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</row>
    <row r="70" spans="1:17" ht="28.5" customHeight="1" x14ac:dyDescent="0.25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</row>
    <row r="71" spans="1:17" ht="28.5" customHeight="1" x14ac:dyDescent="0.25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</row>
    <row r="72" spans="1:17" ht="28.5" customHeight="1" x14ac:dyDescent="0.25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</row>
    <row r="73" spans="1:17" ht="28.5" customHeight="1" x14ac:dyDescent="0.25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</row>
    <row r="74" spans="1:17" ht="28.5" customHeight="1" x14ac:dyDescent="0.25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</row>
    <row r="75" spans="1:17" ht="28.5" customHeight="1" x14ac:dyDescent="0.25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</row>
    <row r="76" spans="1:17" ht="28.5" customHeight="1" x14ac:dyDescent="0.25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</row>
    <row r="77" spans="1:17" ht="28.5" customHeight="1" x14ac:dyDescent="0.25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</row>
    <row r="78" spans="1:17" ht="28.5" customHeight="1" x14ac:dyDescent="0.25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</row>
    <row r="79" spans="1:17" ht="28.5" customHeight="1" x14ac:dyDescent="0.25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</row>
    <row r="80" spans="1:17" ht="28.5" customHeight="1" x14ac:dyDescent="0.25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</row>
    <row r="81" spans="1:17" ht="28.5" customHeight="1" x14ac:dyDescent="0.25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</row>
    <row r="82" spans="1:17" ht="28.5" customHeight="1" x14ac:dyDescent="0.25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</row>
    <row r="83" spans="1:17" ht="28.5" customHeight="1" x14ac:dyDescent="0.25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</row>
    <row r="84" spans="1:17" ht="28.5" customHeight="1" x14ac:dyDescent="0.25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</row>
    <row r="85" spans="1:17" ht="28.5" customHeight="1" x14ac:dyDescent="0.25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</row>
    <row r="86" spans="1:17" ht="28.5" customHeight="1" x14ac:dyDescent="0.25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</row>
    <row r="87" spans="1:17" ht="28.5" customHeight="1" x14ac:dyDescent="0.25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</row>
    <row r="88" spans="1:17" ht="28.5" customHeight="1" x14ac:dyDescent="0.25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</row>
    <row r="89" spans="1:17" ht="28.5" customHeight="1" x14ac:dyDescent="0.25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</row>
    <row r="90" spans="1:17" ht="28.5" customHeight="1" x14ac:dyDescent="0.25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</row>
    <row r="91" spans="1:17" ht="28.5" customHeight="1" x14ac:dyDescent="0.25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</row>
    <row r="92" spans="1:17" ht="28.5" customHeight="1" x14ac:dyDescent="0.25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</row>
    <row r="93" spans="1:17" ht="28.5" customHeight="1" x14ac:dyDescent="0.25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</row>
    <row r="94" spans="1:17" ht="28.5" customHeight="1" x14ac:dyDescent="0.25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</row>
    <row r="95" spans="1:17" ht="28.5" customHeight="1" x14ac:dyDescent="0.25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</row>
    <row r="96" spans="1:17" ht="28.5" customHeight="1" x14ac:dyDescent="0.25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</row>
    <row r="97" spans="1:17" ht="28.5" customHeight="1" x14ac:dyDescent="0.25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</row>
    <row r="98" spans="1:17" ht="28.5" customHeight="1" x14ac:dyDescent="0.25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</row>
    <row r="99" spans="1:17" ht="28.5" customHeight="1" x14ac:dyDescent="0.25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</row>
    <row r="100" spans="1:17" ht="28.5" customHeight="1" x14ac:dyDescent="0.25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</row>
  </sheetData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/>
  </sheetViews>
  <sheetFormatPr baseColWidth="10" defaultColWidth="14.42578125" defaultRowHeight="15" customHeight="1" x14ac:dyDescent="0.25"/>
  <cols>
    <col min="1" max="1" width="4" customWidth="1"/>
    <col min="2" max="2" width="19.7109375" customWidth="1"/>
    <col min="3" max="3" width="13.5703125" customWidth="1"/>
    <col min="4" max="4" width="11.5703125" customWidth="1"/>
    <col min="5" max="6" width="15.7109375" customWidth="1"/>
    <col min="7" max="8" width="11.5703125" customWidth="1"/>
    <col min="9" max="9" width="12.5703125" customWidth="1"/>
    <col min="10" max="10" width="14.85546875" customWidth="1"/>
    <col min="11" max="11" width="11.57031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6.25" customHeight="1" x14ac:dyDescent="0.25">
      <c r="A2" s="1"/>
      <c r="B2" s="123">
        <f>'EST. FUR'!C2</f>
        <v>45453</v>
      </c>
      <c r="C2" s="199" t="s">
        <v>183</v>
      </c>
      <c r="D2" s="175"/>
      <c r="E2" s="175"/>
      <c r="F2" s="175"/>
      <c r="G2" s="175"/>
      <c r="H2" s="175"/>
      <c r="I2" s="175"/>
      <c r="J2" s="176"/>
      <c r="K2" s="1"/>
    </row>
    <row r="3" spans="1:11" ht="36" x14ac:dyDescent="0.25">
      <c r="A3" s="1"/>
      <c r="B3" s="124" t="s">
        <v>2</v>
      </c>
      <c r="C3" s="125" t="s">
        <v>322</v>
      </c>
      <c r="D3" s="125" t="s">
        <v>323</v>
      </c>
      <c r="E3" s="125" t="s">
        <v>186</v>
      </c>
      <c r="F3" s="125" t="s">
        <v>182</v>
      </c>
      <c r="G3" s="125" t="s">
        <v>324</v>
      </c>
      <c r="H3" s="125" t="s">
        <v>325</v>
      </c>
      <c r="I3" s="125" t="s">
        <v>326</v>
      </c>
      <c r="J3" s="126" t="s">
        <v>121</v>
      </c>
      <c r="K3" s="1"/>
    </row>
    <row r="4" spans="1:11" x14ac:dyDescent="0.25">
      <c r="A4" s="1"/>
      <c r="B4" s="127" t="s">
        <v>14</v>
      </c>
      <c r="C4" s="128">
        <f>TOTAL!D67</f>
        <v>0</v>
      </c>
      <c r="D4" s="128">
        <f>TOTAL!D68</f>
        <v>0</v>
      </c>
      <c r="E4" s="128">
        <f>TOTAL!D69</f>
        <v>0</v>
      </c>
      <c r="F4" s="128">
        <f>TOTAL!D70</f>
        <v>0</v>
      </c>
      <c r="G4" s="128">
        <f>SUM(TOTAL!E67:E70)</f>
        <v>0</v>
      </c>
      <c r="H4" s="128">
        <f>SUM(TOTAL!F67:F70)</f>
        <v>0</v>
      </c>
      <c r="I4" s="128">
        <f>SUM(TOTAL!H67:H70)</f>
        <v>0</v>
      </c>
      <c r="J4" s="128">
        <f>SUM(TOTAL!I67:I70)</f>
        <v>0</v>
      </c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autoFilter ref="A1:J5" xr:uid="{00000000-0009-0000-0000-000007000000}"/>
  <mergeCells count="1">
    <mergeCell ref="C2:J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"/>
  <sheetViews>
    <sheetView workbookViewId="0"/>
  </sheetViews>
  <sheetFormatPr baseColWidth="10" defaultColWidth="14.42578125" defaultRowHeight="15" customHeight="1" x14ac:dyDescent="0.25"/>
  <cols>
    <col min="1" max="11" width="10.7109375" customWidth="1"/>
  </cols>
  <sheetData>
    <row r="1" spans="1:7" ht="28.5" x14ac:dyDescent="0.45">
      <c r="A1" s="200" t="s">
        <v>327</v>
      </c>
      <c r="B1" s="201"/>
      <c r="C1" s="201"/>
      <c r="D1" s="201"/>
      <c r="E1" s="201"/>
      <c r="F1" s="201"/>
    </row>
    <row r="2" spans="1:7" ht="46.5" x14ac:dyDescent="0.7">
      <c r="A2" s="129"/>
      <c r="E2" t="s">
        <v>328</v>
      </c>
      <c r="F2" t="s">
        <v>329</v>
      </c>
      <c r="G2" t="s">
        <v>330</v>
      </c>
    </row>
    <row r="3" spans="1:7" x14ac:dyDescent="0.25">
      <c r="A3" s="130" t="s">
        <v>331</v>
      </c>
      <c r="B3" s="131" t="s">
        <v>332</v>
      </c>
      <c r="C3" s="132" t="s">
        <v>333</v>
      </c>
      <c r="D3" s="131" t="s">
        <v>334</v>
      </c>
      <c r="E3" s="133" t="s">
        <v>335</v>
      </c>
      <c r="F3" s="133" t="s">
        <v>336</v>
      </c>
      <c r="G3" s="131" t="s">
        <v>337</v>
      </c>
    </row>
    <row r="4" spans="1:7" x14ac:dyDescent="0.25">
      <c r="A4" s="134">
        <v>1</v>
      </c>
      <c r="B4" s="135" t="s">
        <v>338</v>
      </c>
      <c r="C4" s="136" t="s">
        <v>339</v>
      </c>
      <c r="D4" s="137" t="s">
        <v>340</v>
      </c>
      <c r="E4" s="138">
        <v>257244</v>
      </c>
      <c r="F4" s="138">
        <v>257244</v>
      </c>
      <c r="G4" s="139">
        <f>KILOMETRAJES!$F4-KILOMETRAJES!$E4</f>
        <v>0</v>
      </c>
    </row>
    <row r="5" spans="1:7" x14ac:dyDescent="0.25">
      <c r="A5" s="134">
        <v>2</v>
      </c>
      <c r="B5" s="135">
        <v>3208</v>
      </c>
      <c r="C5" s="136" t="s">
        <v>341</v>
      </c>
      <c r="D5" s="137" t="s">
        <v>342</v>
      </c>
      <c r="E5" s="140">
        <v>275370</v>
      </c>
      <c r="F5" s="140">
        <v>275370</v>
      </c>
      <c r="G5" s="139">
        <f>KILOMETRAJES!$F5-KILOMETRAJES!$E5</f>
        <v>0</v>
      </c>
    </row>
    <row r="6" spans="1:7" x14ac:dyDescent="0.25">
      <c r="A6" s="134">
        <v>3</v>
      </c>
      <c r="B6" s="135">
        <v>3386</v>
      </c>
      <c r="C6" s="136" t="s">
        <v>343</v>
      </c>
      <c r="D6" s="137" t="s">
        <v>344</v>
      </c>
      <c r="E6" s="141">
        <v>230174</v>
      </c>
      <c r="F6" s="141">
        <v>230174</v>
      </c>
      <c r="G6" s="139">
        <f>KILOMETRAJES!$F6-KILOMETRAJES!$E6</f>
        <v>0</v>
      </c>
    </row>
    <row r="7" spans="1:7" x14ac:dyDescent="0.25">
      <c r="A7" s="134">
        <v>4</v>
      </c>
      <c r="B7" s="135">
        <v>3233</v>
      </c>
      <c r="C7" s="136" t="s">
        <v>345</v>
      </c>
      <c r="D7" s="137" t="s">
        <v>346</v>
      </c>
      <c r="E7" s="140">
        <v>0</v>
      </c>
      <c r="F7" s="140">
        <v>0</v>
      </c>
      <c r="G7" s="139">
        <f>KILOMETRAJES!$F7-KILOMETRAJES!$E7</f>
        <v>0</v>
      </c>
    </row>
    <row r="8" spans="1:7" x14ac:dyDescent="0.25">
      <c r="A8" s="134">
        <v>5</v>
      </c>
      <c r="B8" s="135">
        <v>3406</v>
      </c>
      <c r="C8" s="136" t="s">
        <v>347</v>
      </c>
      <c r="D8" s="137" t="s">
        <v>348</v>
      </c>
      <c r="E8" s="142">
        <v>352099</v>
      </c>
      <c r="F8" s="142">
        <v>352099</v>
      </c>
      <c r="G8" s="139">
        <f>KILOMETRAJES!$F8-KILOMETRAJES!$E8</f>
        <v>0</v>
      </c>
    </row>
    <row r="9" spans="1:7" x14ac:dyDescent="0.25">
      <c r="A9" s="134">
        <v>6</v>
      </c>
      <c r="B9" s="135">
        <v>3257</v>
      </c>
      <c r="C9" s="136" t="s">
        <v>349</v>
      </c>
      <c r="D9" s="137" t="s">
        <v>350</v>
      </c>
      <c r="E9" s="142">
        <v>325791</v>
      </c>
      <c r="F9" s="142">
        <v>325791</v>
      </c>
      <c r="G9" s="139">
        <f>KILOMETRAJES!$F9-KILOMETRAJES!$E9</f>
        <v>0</v>
      </c>
    </row>
    <row r="10" spans="1:7" x14ac:dyDescent="0.25">
      <c r="A10" s="134">
        <v>7</v>
      </c>
      <c r="B10" s="135">
        <v>3153</v>
      </c>
      <c r="C10" s="136" t="s">
        <v>351</v>
      </c>
      <c r="D10" s="137" t="s">
        <v>352</v>
      </c>
      <c r="E10" s="143">
        <v>355109</v>
      </c>
      <c r="F10" s="143">
        <v>355226</v>
      </c>
      <c r="G10" s="139">
        <f>KILOMETRAJES!$F10-KILOMETRAJES!$E10</f>
        <v>117</v>
      </c>
    </row>
    <row r="11" spans="1:7" x14ac:dyDescent="0.25">
      <c r="A11" s="134">
        <v>8</v>
      </c>
      <c r="B11" s="135">
        <v>3190</v>
      </c>
      <c r="C11" s="136" t="s">
        <v>353</v>
      </c>
      <c r="D11" s="137" t="s">
        <v>354</v>
      </c>
      <c r="E11" s="143">
        <v>256945</v>
      </c>
      <c r="F11" s="143">
        <v>256945</v>
      </c>
      <c r="G11" s="139">
        <f>KILOMETRAJES!$F11-KILOMETRAJES!$E11</f>
        <v>0</v>
      </c>
    </row>
    <row r="12" spans="1:7" x14ac:dyDescent="0.25">
      <c r="A12" s="134">
        <v>9</v>
      </c>
      <c r="B12" s="135">
        <v>3144</v>
      </c>
      <c r="C12" s="136" t="s">
        <v>355</v>
      </c>
      <c r="D12" s="137" t="s">
        <v>356</v>
      </c>
      <c r="E12" s="144">
        <v>311411</v>
      </c>
      <c r="F12" s="144">
        <v>311567</v>
      </c>
      <c r="G12" s="139">
        <f>KILOMETRAJES!$F12-KILOMETRAJES!$E12</f>
        <v>156</v>
      </c>
    </row>
    <row r="13" spans="1:7" x14ac:dyDescent="0.25">
      <c r="A13" s="134">
        <v>10</v>
      </c>
      <c r="B13" s="135">
        <v>3165</v>
      </c>
      <c r="C13" s="136" t="s">
        <v>357</v>
      </c>
      <c r="D13" s="137" t="s">
        <v>358</v>
      </c>
      <c r="E13" s="139">
        <v>227773</v>
      </c>
      <c r="F13" s="139">
        <v>227827</v>
      </c>
      <c r="G13" s="139">
        <f>KILOMETRAJES!$F13-KILOMETRAJES!$E13</f>
        <v>54</v>
      </c>
    </row>
    <row r="14" spans="1:7" x14ac:dyDescent="0.25">
      <c r="A14" s="134">
        <v>11</v>
      </c>
      <c r="B14" s="135">
        <v>3223</v>
      </c>
      <c r="C14" s="136" t="s">
        <v>359</v>
      </c>
      <c r="D14" s="137" t="s">
        <v>360</v>
      </c>
      <c r="E14" s="143">
        <v>169881</v>
      </c>
      <c r="F14" s="143">
        <v>169881</v>
      </c>
      <c r="G14" s="139">
        <f>KILOMETRAJES!$F14-KILOMETRAJES!$E14</f>
        <v>0</v>
      </c>
    </row>
    <row r="15" spans="1:7" x14ac:dyDescent="0.25">
      <c r="A15" s="134">
        <v>12</v>
      </c>
      <c r="B15" s="135">
        <v>3286</v>
      </c>
      <c r="C15" s="136" t="s">
        <v>361</v>
      </c>
      <c r="D15" s="137" t="s">
        <v>362</v>
      </c>
      <c r="E15" s="139">
        <v>394568</v>
      </c>
      <c r="F15" s="139">
        <v>394660</v>
      </c>
      <c r="G15" s="139">
        <f>KILOMETRAJES!$F15-KILOMETRAJES!$E15</f>
        <v>92</v>
      </c>
    </row>
    <row r="16" spans="1:7" x14ac:dyDescent="0.25">
      <c r="A16" s="134">
        <v>13</v>
      </c>
      <c r="B16" s="135" t="s">
        <v>363</v>
      </c>
      <c r="C16" s="136" t="s">
        <v>364</v>
      </c>
      <c r="D16" s="137" t="s">
        <v>365</v>
      </c>
      <c r="E16" s="145">
        <v>236183</v>
      </c>
      <c r="F16" s="145">
        <v>236288</v>
      </c>
      <c r="G16" s="139">
        <f>KILOMETRAJES!$F16-KILOMETRAJES!$E16</f>
        <v>105</v>
      </c>
    </row>
    <row r="17" spans="1:7" x14ac:dyDescent="0.25">
      <c r="A17" s="134">
        <v>14</v>
      </c>
      <c r="B17" s="135" t="s">
        <v>366</v>
      </c>
      <c r="C17" s="136" t="s">
        <v>367</v>
      </c>
      <c r="D17" s="137" t="s">
        <v>368</v>
      </c>
      <c r="E17" s="143">
        <v>201120</v>
      </c>
      <c r="F17" s="143">
        <v>201120</v>
      </c>
      <c r="G17" s="139">
        <f>KILOMETRAJES!$F17-KILOMETRAJES!$E17</f>
        <v>0</v>
      </c>
    </row>
    <row r="18" spans="1:7" x14ac:dyDescent="0.25">
      <c r="A18" s="134">
        <v>15</v>
      </c>
      <c r="B18" s="135" t="s">
        <v>369</v>
      </c>
      <c r="C18" s="136" t="s">
        <v>370</v>
      </c>
      <c r="D18" s="137" t="s">
        <v>371</v>
      </c>
      <c r="E18" s="146">
        <v>0</v>
      </c>
      <c r="F18" s="146">
        <v>0</v>
      </c>
      <c r="G18" s="139">
        <f>KILOMETRAJES!$F18-KILOMETRAJES!$E18</f>
        <v>0</v>
      </c>
    </row>
    <row r="19" spans="1:7" x14ac:dyDescent="0.25">
      <c r="A19" s="134">
        <v>16</v>
      </c>
      <c r="B19" s="135" t="s">
        <v>372</v>
      </c>
      <c r="C19" s="136" t="s">
        <v>373</v>
      </c>
      <c r="D19" s="137" t="s">
        <v>374</v>
      </c>
      <c r="E19" s="146">
        <v>0</v>
      </c>
      <c r="F19" s="146">
        <v>0</v>
      </c>
      <c r="G19" s="139">
        <f>KILOMETRAJES!$F19-KILOMETRAJES!$E19</f>
        <v>0</v>
      </c>
    </row>
    <row r="20" spans="1:7" x14ac:dyDescent="0.25">
      <c r="A20" s="134">
        <v>17</v>
      </c>
      <c r="B20" s="135" t="s">
        <v>375</v>
      </c>
      <c r="C20" s="136" t="s">
        <v>376</v>
      </c>
      <c r="D20" s="137" t="s">
        <v>377</v>
      </c>
      <c r="E20" s="146">
        <v>0</v>
      </c>
      <c r="F20" s="146">
        <v>0</v>
      </c>
      <c r="G20" s="139">
        <f>KILOMETRAJES!$F20-KILOMETRAJES!$E20</f>
        <v>0</v>
      </c>
    </row>
    <row r="21" spans="1:7" ht="15.75" customHeight="1" x14ac:dyDescent="0.25">
      <c r="A21" s="134">
        <v>18</v>
      </c>
      <c r="B21" s="135" t="s">
        <v>378</v>
      </c>
      <c r="C21" s="136" t="s">
        <v>379</v>
      </c>
      <c r="D21" s="137" t="s">
        <v>380</v>
      </c>
      <c r="E21" s="145">
        <v>0</v>
      </c>
      <c r="F21" s="145">
        <v>0</v>
      </c>
      <c r="G21" s="139">
        <f>KILOMETRAJES!$F21-KILOMETRAJES!$E21</f>
        <v>0</v>
      </c>
    </row>
    <row r="22" spans="1:7" ht="15.75" customHeight="1" x14ac:dyDescent="0.25">
      <c r="A22" s="134">
        <v>19</v>
      </c>
      <c r="B22" s="135" t="s">
        <v>381</v>
      </c>
      <c r="C22" s="136" t="s">
        <v>382</v>
      </c>
      <c r="D22" s="137" t="s">
        <v>383</v>
      </c>
      <c r="E22" s="146">
        <v>0</v>
      </c>
      <c r="F22" s="146">
        <v>0</v>
      </c>
      <c r="G22" s="139"/>
    </row>
    <row r="23" spans="1:7" ht="15.75" customHeight="1" x14ac:dyDescent="0.25">
      <c r="A23" s="134">
        <v>20</v>
      </c>
      <c r="B23" s="135"/>
      <c r="C23" s="136"/>
      <c r="D23" s="137"/>
      <c r="E23" s="143"/>
      <c r="F23" s="143"/>
      <c r="G23" s="139"/>
    </row>
    <row r="24" spans="1:7" ht="15.75" customHeight="1" x14ac:dyDescent="0.25">
      <c r="A24" s="134"/>
      <c r="B24" s="135"/>
      <c r="C24" s="136"/>
      <c r="D24" s="137"/>
      <c r="E24" s="146"/>
      <c r="F24" s="146"/>
      <c r="G24" s="139">
        <f>KILOMETRAJES!$F24-KILOMETRAJES!$E24</f>
        <v>0</v>
      </c>
    </row>
    <row r="25" spans="1:7" ht="15.75" customHeight="1" x14ac:dyDescent="0.25">
      <c r="A25" s="147"/>
      <c r="B25" s="135"/>
      <c r="C25" s="136"/>
      <c r="D25" s="137"/>
      <c r="E25" s="145"/>
      <c r="F25" s="145"/>
      <c r="G25" s="139">
        <f>KILOMETRAJES!$F25-KILOMETRAJES!$E25</f>
        <v>0</v>
      </c>
    </row>
    <row r="26" spans="1:7" ht="15.75" customHeight="1" x14ac:dyDescent="0.25">
      <c r="A26" s="147"/>
      <c r="B26" s="148"/>
      <c r="C26" s="149"/>
      <c r="D26" s="150"/>
      <c r="E26" s="145"/>
      <c r="F26" s="145"/>
      <c r="G26" s="139">
        <f>KILOMETRAJES!$F26-KILOMETRAJES!$E26</f>
        <v>0</v>
      </c>
    </row>
    <row r="27" spans="1:7" ht="15.75" customHeight="1" x14ac:dyDescent="0.25">
      <c r="A27" s="147"/>
      <c r="B27" s="148"/>
      <c r="C27" s="149"/>
      <c r="D27" s="150"/>
      <c r="E27" s="145"/>
      <c r="F27" s="145"/>
      <c r="G27" s="139">
        <f>SUBTOTAL(109,KILOMETRAJES!$G$4:$G$26)</f>
        <v>524</v>
      </c>
    </row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">
    <mergeCell ref="A1:F1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EST. FUR</vt:lpstr>
      <vt:lpstr>EST. VEH</vt:lpstr>
      <vt:lpstr>ARM.</vt:lpstr>
      <vt:lpstr>CARRUSEL</vt:lpstr>
      <vt:lpstr>OPERATIVOS</vt:lpstr>
      <vt:lpstr>TOTAL</vt:lpstr>
      <vt:lpstr>NOV. REL</vt:lpstr>
      <vt:lpstr>CAMPAÑAS</vt:lpstr>
      <vt:lpstr>KILOMETRAJES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Omen</dc:creator>
  <cp:lastModifiedBy>PERITOS DEL ESTADO</cp:lastModifiedBy>
  <cp:lastPrinted>2025-01-26T18:13:15Z</cp:lastPrinted>
  <dcterms:created xsi:type="dcterms:W3CDTF">2024-06-03T21:10:30Z</dcterms:created>
  <dcterms:modified xsi:type="dcterms:W3CDTF">2025-01-26T18:14:17Z</dcterms:modified>
</cp:coreProperties>
</file>